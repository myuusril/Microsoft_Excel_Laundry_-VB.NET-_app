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NOTA\"/>
    </mc:Choice>
  </mc:AlternateContent>
  <xr:revisionPtr revIDLastSave="0" documentId="13_ncr:1_{CCEDF458-AA53-4DE9-A08F-6733B785D4B7}" xr6:coauthVersionLast="46" xr6:coauthVersionMax="46" xr10:uidLastSave="{00000000-0000-0000-0000-000000000000}"/>
  <bookViews>
    <workbookView xWindow="-120" yWindow="-120" windowWidth="20730" windowHeight="11760" activeTab="5" xr2:uid="{00000000-000D-0000-FFFF-FFFF00000000}"/>
  </bookViews>
  <sheets>
    <sheet name="Sheet1" sheetId="5" r:id="rId1"/>
    <sheet name="Transaksi" sheetId="1" r:id="rId2"/>
    <sheet name="DataBarang" sheetId="2" r:id="rId3"/>
    <sheet name="Laporan" sheetId="3" r:id="rId4"/>
    <sheet name="Pengeluaran" sheetId="4" r:id="rId5"/>
    <sheet name="Sheet2" sheetId="6" r:id="rId6"/>
  </sheets>
  <externalReferences>
    <externalReference r:id="rId7"/>
  </externalReferences>
  <definedNames>
    <definedName name="_xlnm._FilterDatabase" localSheetId="2" hidden="1">DataBarang!$A$1:$D$18</definedName>
    <definedName name="_xlnm._FilterDatabase" localSheetId="3" hidden="1">Laporan!$A$1:$O$8</definedName>
    <definedName name="_xlnm._FilterDatabase" localSheetId="4" hidden="1">Pengeluaran!$A$1:$G$3</definedName>
    <definedName name="ADMIN">OFFSET(Sheet2!$A$2,0,0,COUNTA(Sheet2!$A$2:$A$30000),1)</definedName>
    <definedName name="copynota">Transaksi!$A$16:$B$16</definedName>
    <definedName name="copytransaksi">OFFSET(Transaksi!$A$16,0,0,COUNTA(Transaksi!$A$16:$A$170000),15)</definedName>
    <definedName name="_xlnm.Criteria" localSheetId="3">Laporan!$Q$1:$R$2</definedName>
    <definedName name="_xlnm.Criteria" localSheetId="4">Pengeluaran!$I$1:$J$2</definedName>
    <definedName name="dataadmin">OFFSET(Sheet2!$A$2,0,0,COUNTA(Sheet2!$A$2:$A$3000),2)</definedName>
    <definedName name="dataambil">OFFSET(DataBarang!$P$2,0,0,COUNTA(DataBarang!$P$2:$P$50000),5)</definedName>
    <definedName name="databarang">OFFSET(DataBarang!$A$2,0,0,COUNTA(DataBarang!$A$2:$A$5001),4)</definedName>
    <definedName name="datalaporan">OFFSET(Laporan!$A$2,0,0,COUNTA(Laporan!$A$2:$A$30000),15)</definedName>
    <definedName name="DataPengeluaran">OFFSET(Pengeluaran!$A$2,0,0,COUNTA(Pengeluaran!$A$2:$A$30000),7)</definedName>
    <definedName name="extrack">DataBarang!$H$1:$K$1</definedName>
    <definedName name="_xlnm.Extract" localSheetId="2">DataBarang!$H$1:$K$1</definedName>
    <definedName name="_xlnm.Extract" localSheetId="3">Laporan!$T$13:$AG$13</definedName>
    <definedName name="_xlnm.Extract" localSheetId="4">Pengeluaran!$L$1:$R$1</definedName>
    <definedName name="hapushasil1">OFFSET(Transaksi!$A$16,0,0,COUNTA(Transaksi!$A$16:$A$170000),7)</definedName>
    <definedName name="hapushasil2">OFFSET(Transaksi!$I$16,0,0,COUNTA(Transaksi!$I$16:$J$170000),8)</definedName>
    <definedName name="hasilcari">OFFSET(DataBarang!$H$2,0,0,COUNTA(DataBarang!$H$2:$H$30000),4)</definedName>
    <definedName name="HasilInput">Transaksi!$H$16:$O$23</definedName>
    <definedName name="HasilLaporan">OFFSET(Laporan!$T$14,0,0,COUNTA(Laporan!$T$14:$T$150000),14)</definedName>
    <definedName name="HasilPengeluaran">OFFSET(Pengeluaran!$L$2,0,0,COUNTA(Pengeluaran!$L$2:$L$30000),7)</definedName>
    <definedName name="keuangan">OFFSET(Sheet2!$E$9,0,0,COUNTA(Sheet2!$E$9:$E$10000),5)</definedName>
    <definedName name="MenuAdmin">OFFSET(DataBarang!$O$2,0,0,COUNTA(DataBarang!$O$2:$O$30000),1)</definedName>
    <definedName name="Menubelanja">OFFSET(DataBarang!$M$2,0,0,COUNTA(DataBarang!$M$2:$M$30000),1)</definedName>
    <definedName name="nourut">Transaksi!$P$1</definedName>
    <definedName name="_xlnm.Print_Area" localSheetId="3">Laporan!$T:$AG</definedName>
    <definedName name="_xlnm.Print_Area" localSheetId="5">Sheet2!$E:$I</definedName>
    <definedName name="_xlnm.Print_Area" localSheetId="1">Transaksi!$H:$N</definedName>
  </definedNames>
  <calcPr calcId="181029"/>
</workbook>
</file>

<file path=xl/calcChain.xml><?xml version="1.0" encoding="utf-8"?>
<calcChain xmlns="http://schemas.openxmlformats.org/spreadsheetml/2006/main">
  <c r="G5" i="6" l="1"/>
  <c r="E74" i="6"/>
  <c r="E75" i="6" s="1"/>
  <c r="E76" i="6" s="1"/>
  <c r="E77" i="6" s="1"/>
  <c r="E78" i="6" s="1"/>
  <c r="E52" i="6" l="1"/>
  <c r="E53" i="6" s="1"/>
  <c r="E54" i="6" s="1"/>
  <c r="E55" i="6" s="1"/>
  <c r="E56" i="6" s="1"/>
  <c r="E57" i="6" s="1"/>
  <c r="E58" i="6" s="1"/>
  <c r="E59" i="6" s="1"/>
  <c r="E60" i="6" s="1"/>
  <c r="E61" i="6" s="1"/>
  <c r="E62" i="6" s="1"/>
  <c r="E63" i="6" s="1"/>
  <c r="E64" i="6" s="1"/>
  <c r="E65" i="6" s="1"/>
  <c r="E66" i="6" s="1"/>
  <c r="E67" i="6"/>
  <c r="E68" i="6" s="1"/>
  <c r="E69" i="6" s="1"/>
  <c r="E70" i="6" s="1"/>
  <c r="E71" i="6" s="1"/>
  <c r="E72" i="6" s="1"/>
  <c r="E73" i="6" s="1"/>
  <c r="E38" i="6" l="1"/>
  <c r="E39" i="6" s="1"/>
  <c r="E40" i="6" s="1"/>
  <c r="E41" i="6" s="1"/>
  <c r="E42" i="6" s="1"/>
  <c r="E43" i="6" s="1"/>
  <c r="E44" i="6" s="1"/>
  <c r="E45" i="6" s="1"/>
  <c r="E46" i="6" s="1"/>
  <c r="E47" i="6" s="1"/>
  <c r="E48" i="6" s="1"/>
  <c r="E49" i="6" s="1"/>
  <c r="E50" i="6" s="1"/>
  <c r="E51" i="6" s="1"/>
  <c r="E10" i="6"/>
  <c r="E11" i="6" s="1"/>
  <c r="E12" i="6" s="1"/>
  <c r="E13" i="6" s="1"/>
  <c r="E14" i="6" s="1"/>
  <c r="E15" i="6" s="1"/>
  <c r="E16" i="6" s="1"/>
  <c r="E17" i="6" s="1"/>
  <c r="E18" i="6" s="1"/>
  <c r="E19" i="6" s="1"/>
  <c r="E20" i="6" s="1"/>
  <c r="E21" i="6" s="1"/>
  <c r="E22" i="6" s="1"/>
  <c r="E23" i="6" s="1"/>
  <c r="E24" i="6" s="1"/>
  <c r="E25" i="6" s="1"/>
  <c r="E26" i="6" s="1"/>
  <c r="E27" i="6" s="1"/>
  <c r="E28" i="6" s="1"/>
  <c r="E29" i="6" s="1"/>
  <c r="E30" i="6" s="1"/>
  <c r="E31" i="6" s="1"/>
  <c r="E32" i="6" s="1"/>
  <c r="E33" i="6" s="1"/>
  <c r="E34" i="6" s="1"/>
  <c r="E35" i="6" s="1"/>
  <c r="E36" i="6" s="1"/>
  <c r="E37" i="6" s="1"/>
  <c r="E9" i="6"/>
  <c r="H17" i="1" l="1"/>
  <c r="H16" i="1"/>
  <c r="I1" i="6"/>
  <c r="H18" i="1" l="1"/>
  <c r="AC9" i="3" l="1"/>
  <c r="AC2" i="3" l="1"/>
  <c r="M24" i="1" l="1"/>
  <c r="H25" i="1" a="1"/>
  <c r="H25" i="1" l="1"/>
  <c r="H19" i="1"/>
  <c r="H20" i="1"/>
  <c r="H21" i="1"/>
  <c r="H22" i="1"/>
  <c r="H23" i="1"/>
  <c r="N2" i="1" l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<sst xmlns="http://schemas.openxmlformats.org/spreadsheetml/2006/main" count="313" uniqueCount="139">
  <si>
    <t>NO</t>
  </si>
  <si>
    <t>JENIS PAKET</t>
  </si>
  <si>
    <t>HARGA</t>
  </si>
  <si>
    <t>JUMLAH</t>
  </si>
  <si>
    <t>Tgl Terima</t>
  </si>
  <si>
    <t>No</t>
  </si>
  <si>
    <t>BERAT (KG)</t>
  </si>
  <si>
    <t>Nama</t>
  </si>
  <si>
    <t>Admin :</t>
  </si>
  <si>
    <t>JUMLAH TOTAL</t>
  </si>
  <si>
    <t>Hormat Kami,</t>
  </si>
  <si>
    <t>.................................</t>
  </si>
  <si>
    <t>Catatan Khusus :</t>
  </si>
  <si>
    <t>Tgl Ambil</t>
  </si>
  <si>
    <t>No Hp</t>
  </si>
  <si>
    <t>Jln Daeng Ramang ( Dekat Polda )</t>
  </si>
  <si>
    <t>BISA ANTAR JEMPUT</t>
  </si>
  <si>
    <t>Nama Barang</t>
  </si>
  <si>
    <t>Satuan</t>
  </si>
  <si>
    <t>Harga</t>
  </si>
  <si>
    <t>SETRIKA SAJA</t>
  </si>
  <si>
    <t>PAKET HEMAT</t>
  </si>
  <si>
    <t>PAKET KOMPLIT</t>
  </si>
  <si>
    <t>EKSPRESS 5 JAM</t>
  </si>
  <si>
    <t>EKSPRESS 8 JAM</t>
  </si>
  <si>
    <t>EKSPRESS 2 JAM</t>
  </si>
  <si>
    <t>BED COVER</t>
  </si>
  <si>
    <t>BONEKA / BANTAL</t>
  </si>
  <si>
    <t>KG</t>
  </si>
  <si>
    <t>SATUAN</t>
  </si>
  <si>
    <t>JAS</t>
  </si>
  <si>
    <t>KEBAYA / PAKAIAN PESTA</t>
  </si>
  <si>
    <t>SEPATU</t>
  </si>
  <si>
    <t>SPREI</t>
  </si>
  <si>
    <t>TAS / RANSEL</t>
  </si>
  <si>
    <t>SELIMUT KECIL</t>
  </si>
  <si>
    <t>SELIMUT BESAR</t>
  </si>
  <si>
    <t>PSG</t>
  </si>
  <si>
    <t>PCS</t>
  </si>
  <si>
    <t>LBR</t>
  </si>
  <si>
    <t>GORDEN</t>
  </si>
  <si>
    <t xml:space="preserve">Makassar, </t>
  </si>
  <si>
    <t>Kode</t>
  </si>
  <si>
    <t>L01</t>
  </si>
  <si>
    <t>L02</t>
  </si>
  <si>
    <t>L03</t>
  </si>
  <si>
    <t>L04</t>
  </si>
  <si>
    <t>L05</t>
  </si>
  <si>
    <t>L06</t>
  </si>
  <si>
    <t>L07</t>
  </si>
  <si>
    <t>L08</t>
  </si>
  <si>
    <t>L09</t>
  </si>
  <si>
    <t>L10</t>
  </si>
  <si>
    <t>L11</t>
  </si>
  <si>
    <t>L12</t>
  </si>
  <si>
    <t>L13</t>
  </si>
  <si>
    <t>L14</t>
  </si>
  <si>
    <t>L15</t>
  </si>
  <si>
    <t>L16</t>
  </si>
  <si>
    <t>L17</t>
  </si>
  <si>
    <t>Berat kg</t>
  </si>
  <si>
    <t>Jumlah</t>
  </si>
  <si>
    <t>LAPORAN TRANSAKSI PENJUALAN</t>
  </si>
  <si>
    <t>Grand Total</t>
  </si>
  <si>
    <t>NAMA BARANG</t>
  </si>
  <si>
    <t>BANYAKNYA</t>
  </si>
  <si>
    <t>TOTAL HARGA</t>
  </si>
  <si>
    <t>KETERANGAN</t>
  </si>
  <si>
    <t>TANGGAL</t>
  </si>
  <si>
    <t>se</t>
  </si>
  <si>
    <t>MENU BELANJA PENGELUARAN</t>
  </si>
  <si>
    <t>DETERJEN LAUNDRY</t>
  </si>
  <si>
    <t>SOFTENER / PELEMBUT</t>
  </si>
  <si>
    <t>PARFUM LAUNDRY</t>
  </si>
  <si>
    <t>PLASTIK PACKING</t>
  </si>
  <si>
    <t>HANGER</t>
  </si>
  <si>
    <t>SEMPROTAN PARFUM</t>
  </si>
  <si>
    <t>BROSUR LAUNDRY</t>
  </si>
  <si>
    <t>SPANDUK</t>
  </si>
  <si>
    <t>KERANJANG</t>
  </si>
  <si>
    <t>RAK DISPLAY</t>
  </si>
  <si>
    <t>SETRIKA</t>
  </si>
  <si>
    <t>MESIN CUCI</t>
  </si>
  <si>
    <t>L18</t>
  </si>
  <si>
    <t>CUCI SAJA</t>
  </si>
  <si>
    <t>L19</t>
  </si>
  <si>
    <t>KERING SAJA</t>
  </si>
  <si>
    <t>L20</t>
  </si>
  <si>
    <t>KERING STRIKA</t>
  </si>
  <si>
    <t>L21</t>
  </si>
  <si>
    <t>KERING LIPAT</t>
  </si>
  <si>
    <t>NAMA ADMIN</t>
  </si>
  <si>
    <t>OMBAS</t>
  </si>
  <si>
    <t>NURYANTI</t>
  </si>
  <si>
    <t>No Nota</t>
  </si>
  <si>
    <t>Admin</t>
  </si>
  <si>
    <t>Nama Pelanggan</t>
  </si>
  <si>
    <t>No Hp Pelanggan</t>
  </si>
  <si>
    <t>Jenis Paket</t>
  </si>
  <si>
    <t>Kode Transaksi</t>
  </si>
  <si>
    <t>Tanggal</t>
  </si>
  <si>
    <t>Keterangan</t>
  </si>
  <si>
    <t>Usename</t>
  </si>
  <si>
    <t>Password</t>
  </si>
  <si>
    <t>YUSRIL</t>
  </si>
  <si>
    <t>PENGERING</t>
  </si>
  <si>
    <t>12L - 02</t>
  </si>
  <si>
    <t>PEMASUKAN</t>
  </si>
  <si>
    <t>PENGELUARAN</t>
  </si>
  <si>
    <t>LAPORAN KEUANGAN</t>
  </si>
  <si>
    <t>PERIODE :</t>
  </si>
  <si>
    <t>MUH.YUSUF</t>
  </si>
  <si>
    <t>L22</t>
  </si>
  <si>
    <t>SPREI BESAR</t>
  </si>
  <si>
    <t>Tanggal Ambil</t>
  </si>
  <si>
    <t>GAS</t>
  </si>
  <si>
    <t xml:space="preserve">SPOIT </t>
  </si>
  <si>
    <t>BOTOL PARFUM</t>
  </si>
  <si>
    <t>KANTONG PLASTIK</t>
  </si>
  <si>
    <t>ISOLASI BENING</t>
  </si>
  <si>
    <t>BELANJA BULANAN</t>
  </si>
  <si>
    <t>Contact Person
081344447221</t>
  </si>
  <si>
    <t>KABEL</t>
  </si>
  <si>
    <t>COK</t>
  </si>
  <si>
    <t>ATK</t>
  </si>
  <si>
    <t>KARPET</t>
  </si>
  <si>
    <t>M</t>
  </si>
  <si>
    <t>L23</t>
  </si>
  <si>
    <t>12L - 03</t>
  </si>
  <si>
    <t>YUSUF</t>
  </si>
  <si>
    <t>12L - 04</t>
  </si>
  <si>
    <t>&lt;=02/01/2020</t>
  </si>
  <si>
    <t>&gt;=02/01/2020</t>
  </si>
  <si>
    <t>BIRU</t>
  </si>
  <si>
    <t>K</t>
  </si>
  <si>
    <t>jhgf</t>
  </si>
  <si>
    <t>12L - 05</t>
  </si>
  <si>
    <t>ADMIN</t>
  </si>
  <si>
    <t>ADMIN1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</si>
</sst>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(&quot;Rp&quot;* #,##0_);_(&quot;Rp&quot;* \(#,##0\);_(&quot;Rp&quot;* &quot;-&quot;_);_(@_)"/>
    <numFmt numFmtId="165" formatCode="h:mm:ss;@"/>
    <numFmt numFmtId="166" formatCode="dd/mm/yy;@"/>
    <numFmt numFmtId="167" formatCode="[$-F800]dddd\,\ mmmm\ dd\,\ yyyy"/>
    <numFmt numFmtId="168" formatCode="_-[$Rp-421]* #,##0_-;\-[$Rp-421]* #,##0_-;_-[$Rp-421]* &quot;-&quot;_-;_-@_-"/>
    <numFmt numFmtId="169" formatCode="mmmm\-yyyy"/>
    <numFmt numFmtId="170" formatCode="[$-421]dd\ mmmm\ yyyy;@"/>
  </numFmts>
  <fonts count="31" x14ac:knownFonts="1">
    <font>
      <sz val="11"/>
      <color theme="1"/>
      <name val="Calibri"/>
      <family val="2"/>
      <charset val="1"/>
      <scheme val="minor"/>
    </font>
    <font>
      <b/>
      <sz val="11"/>
      <color theme="0"/>
      <name val="Calibri"/>
      <family val="2"/>
      <scheme val="minor"/>
    </font>
    <font>
      <sz val="11"/>
      <color theme="5" tint="-0.249977111117893"/>
      <name val="Calibri"/>
      <family val="2"/>
      <charset val="1"/>
      <scheme val="minor"/>
    </font>
    <font>
      <sz val="8"/>
      <color theme="5" tint="-0.249977111117893"/>
      <name val="Calibri"/>
      <family val="2"/>
      <charset val="1"/>
      <scheme val="minor"/>
    </font>
    <font>
      <sz val="9"/>
      <color theme="5" tint="-0.249977111117893"/>
      <name val="Calibri"/>
      <family val="2"/>
      <charset val="1"/>
      <scheme val="minor"/>
    </font>
    <font>
      <b/>
      <sz val="8"/>
      <color theme="0"/>
      <name val="Calibri"/>
      <family val="2"/>
      <charset val="1"/>
      <scheme val="minor"/>
    </font>
    <font>
      <b/>
      <sz val="9"/>
      <color theme="5" tint="-0.249977111117893"/>
      <name val="Calibri"/>
      <family val="2"/>
      <scheme val="minor"/>
    </font>
    <font>
      <sz val="8"/>
      <color theme="5" tint="-0.249977111117893"/>
      <name val="Century Gothic"/>
      <family val="2"/>
    </font>
    <font>
      <sz val="8"/>
      <color theme="5"/>
      <name val="Calibri"/>
      <family val="2"/>
      <charset val="1"/>
      <scheme val="minor"/>
    </font>
    <font>
      <b/>
      <sz val="10"/>
      <color theme="5" tint="-0.249977111117893"/>
      <name val="Calibri"/>
      <family val="2"/>
      <scheme val="minor"/>
    </font>
    <font>
      <sz val="11"/>
      <color theme="0"/>
      <name val="Calibri"/>
      <family val="2"/>
      <charset val="1"/>
      <scheme val="minor"/>
    </font>
    <font>
      <b/>
      <sz val="28"/>
      <color theme="5"/>
      <name val="Calibri"/>
      <family val="2"/>
      <scheme val="minor"/>
    </font>
    <font>
      <b/>
      <sz val="20"/>
      <color theme="5"/>
      <name val="Century Gothic"/>
      <family val="2"/>
    </font>
    <font>
      <sz val="22"/>
      <color theme="1"/>
      <name val="Edwardian Script ITC"/>
      <family val="4"/>
    </font>
    <font>
      <sz val="24"/>
      <color theme="0"/>
      <name val="Calibri"/>
      <family val="2"/>
      <charset val="1"/>
      <scheme val="minor"/>
    </font>
    <font>
      <b/>
      <sz val="11"/>
      <color theme="5" tint="-0.249977111117893"/>
      <name val="Calibri"/>
      <family val="2"/>
      <scheme val="minor"/>
    </font>
    <font>
      <sz val="28"/>
      <color theme="0"/>
      <name val="Century Gothic"/>
      <family val="2"/>
    </font>
    <font>
      <b/>
      <sz val="12"/>
      <color theme="5" tint="-0.249977111117893"/>
      <name val="Calibri"/>
      <family val="2"/>
      <scheme val="minor"/>
    </font>
    <font>
      <sz val="11"/>
      <name val="Calibri"/>
      <family val="2"/>
      <charset val="1"/>
      <scheme val="minor"/>
    </font>
    <font>
      <sz val="11"/>
      <color theme="1"/>
      <name val="Calibri"/>
      <family val="2"/>
      <charset val="1"/>
      <scheme val="minor"/>
    </font>
    <font>
      <sz val="10"/>
      <color theme="0" tint="-0.14999847407452621"/>
      <name val="Calibri"/>
      <family val="2"/>
      <charset val="1"/>
      <scheme val="minor"/>
    </font>
    <font>
      <sz val="8"/>
      <color theme="0"/>
      <name val="Calibri"/>
      <family val="2"/>
      <charset val="1"/>
      <scheme val="minor"/>
    </font>
    <font>
      <sz val="8"/>
      <name val="Calibri"/>
      <family val="2"/>
      <charset val="1"/>
      <scheme val="minor"/>
    </font>
    <font>
      <sz val="14"/>
      <color theme="5" tint="-0.249977111117893"/>
      <name val="Calibri"/>
      <family val="2"/>
      <charset val="1"/>
      <scheme val="minor"/>
    </font>
    <font>
      <sz val="10"/>
      <color theme="5" tint="-0.249977111117893"/>
      <name val="Calibri"/>
      <family val="2"/>
      <charset val="1"/>
      <scheme val="minor"/>
    </font>
    <font>
      <b/>
      <sz val="20"/>
      <color theme="5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5" tint="-0.249977111117893"/>
      <name val="Calibri"/>
      <family val="2"/>
      <scheme val="minor"/>
    </font>
    <font>
      <b/>
      <sz val="18"/>
      <color theme="5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C00000"/>
        <bgColor indexed="64"/>
      </patternFill>
    </fill>
  </fills>
  <borders count="29">
    <border>
      <left/>
      <right/>
      <top/>
      <bottom/>
      <diagonal/>
    </border>
    <border>
      <left/>
      <right/>
      <top/>
      <bottom style="thin">
        <color theme="5"/>
      </bottom>
      <diagonal/>
    </border>
    <border>
      <left/>
      <right style="thin">
        <color theme="5"/>
      </right>
      <top/>
      <bottom style="thin">
        <color theme="5"/>
      </bottom>
      <diagonal/>
    </border>
    <border>
      <left/>
      <right style="thin">
        <color theme="5"/>
      </right>
      <top style="thin">
        <color theme="5"/>
      </top>
      <bottom style="thin">
        <color theme="5"/>
      </bottom>
      <diagonal/>
    </border>
    <border>
      <left/>
      <right/>
      <top style="thin">
        <color theme="5"/>
      </top>
      <bottom style="thin">
        <color theme="5"/>
      </bottom>
      <diagonal/>
    </border>
    <border>
      <left style="thin">
        <color indexed="64"/>
      </left>
      <right style="thin">
        <color theme="5"/>
      </right>
      <top style="thin">
        <color theme="5"/>
      </top>
      <bottom style="thin">
        <color theme="5"/>
      </bottom>
      <diagonal/>
    </border>
    <border>
      <left style="thin">
        <color theme="5"/>
      </left>
      <right/>
      <top style="thin">
        <color theme="5"/>
      </top>
      <bottom style="thin">
        <color theme="5"/>
      </bottom>
      <diagonal/>
    </border>
    <border>
      <left style="thin">
        <color theme="5"/>
      </left>
      <right/>
      <top/>
      <bottom style="thin">
        <color theme="5"/>
      </bottom>
      <diagonal/>
    </border>
    <border>
      <left style="thin">
        <color theme="5"/>
      </left>
      <right style="thin">
        <color theme="5"/>
      </right>
      <top style="thin">
        <color theme="5"/>
      </top>
      <bottom style="thin">
        <color theme="5"/>
      </bottom>
      <diagonal/>
    </border>
    <border>
      <left style="thin">
        <color theme="5"/>
      </left>
      <right style="thin">
        <color indexed="64"/>
      </right>
      <top style="thin">
        <color theme="5"/>
      </top>
      <bottom style="thin">
        <color theme="5"/>
      </bottom>
      <diagonal/>
    </border>
    <border>
      <left/>
      <right/>
      <top/>
      <bottom style="medium">
        <color theme="5"/>
      </bottom>
      <diagonal/>
    </border>
    <border>
      <left/>
      <right/>
      <top style="medium">
        <color theme="5"/>
      </top>
      <bottom/>
      <diagonal/>
    </border>
    <border>
      <left/>
      <right style="medium">
        <color theme="5"/>
      </right>
      <top style="medium">
        <color theme="5"/>
      </top>
      <bottom/>
      <diagonal/>
    </border>
    <border>
      <left/>
      <right style="medium">
        <color theme="5"/>
      </right>
      <top/>
      <bottom/>
      <diagonal/>
    </border>
    <border>
      <left/>
      <right style="medium">
        <color theme="5"/>
      </right>
      <top/>
      <bottom style="medium">
        <color theme="5"/>
      </bottom>
      <diagonal/>
    </border>
    <border>
      <left style="medium">
        <color theme="5"/>
      </left>
      <right/>
      <top/>
      <bottom style="medium">
        <color theme="5"/>
      </bottom>
      <diagonal/>
    </border>
    <border>
      <left style="medium">
        <color theme="5"/>
      </left>
      <right/>
      <top style="medium">
        <color theme="5"/>
      </top>
      <bottom/>
      <diagonal/>
    </border>
    <border>
      <left style="medium">
        <color theme="5"/>
      </left>
      <right/>
      <top/>
      <bottom/>
      <diagonal/>
    </border>
    <border>
      <left style="thin">
        <color theme="5"/>
      </left>
      <right style="thin">
        <color theme="5"/>
      </right>
      <top/>
      <bottom style="thin">
        <color theme="5"/>
      </bottom>
      <diagonal/>
    </border>
    <border>
      <left/>
      <right style="thin">
        <color theme="5"/>
      </right>
      <top/>
      <bottom/>
      <diagonal/>
    </border>
    <border>
      <left/>
      <right/>
      <top/>
      <bottom style="thin">
        <color theme="5" tint="-0.249977111117893"/>
      </bottom>
      <diagonal/>
    </border>
    <border>
      <left style="medium">
        <color theme="5" tint="-0.249977111117893"/>
      </left>
      <right/>
      <top style="medium">
        <color theme="5" tint="-0.249977111117893"/>
      </top>
      <bottom/>
      <diagonal/>
    </border>
    <border>
      <left/>
      <right/>
      <top style="medium">
        <color theme="5" tint="-0.249977111117893"/>
      </top>
      <bottom/>
      <diagonal/>
    </border>
    <border>
      <left/>
      <right style="medium">
        <color theme="5" tint="-0.249977111117893"/>
      </right>
      <top style="medium">
        <color theme="5" tint="-0.249977111117893"/>
      </top>
      <bottom/>
      <diagonal/>
    </border>
    <border>
      <left style="medium">
        <color theme="5" tint="-0.249977111117893"/>
      </left>
      <right/>
      <top/>
      <bottom/>
      <diagonal/>
    </border>
    <border>
      <left/>
      <right style="medium">
        <color theme="5" tint="-0.249977111117893"/>
      </right>
      <top/>
      <bottom/>
      <diagonal/>
    </border>
    <border>
      <left style="medium">
        <color theme="5" tint="-0.249977111117893"/>
      </left>
      <right/>
      <top/>
      <bottom style="medium">
        <color theme="5" tint="-0.249977111117893"/>
      </bottom>
      <diagonal/>
    </border>
    <border>
      <left/>
      <right/>
      <top/>
      <bottom style="medium">
        <color theme="5" tint="-0.249977111117893"/>
      </bottom>
      <diagonal/>
    </border>
    <border>
      <left/>
      <right style="medium">
        <color theme="5" tint="-0.249977111117893"/>
      </right>
      <top/>
      <bottom style="medium">
        <color theme="5" tint="-0.249977111117893"/>
      </bottom>
      <diagonal/>
    </border>
  </borders>
  <cellStyleXfs count="2">
    <xf numFmtId="0" fontId="0" fillId="0" borderId="0"/>
    <xf numFmtId="164" fontId="19" fillId="0" borderId="0" applyFont="0" applyFill="0" applyBorder="0" applyAlignment="0" applyProtection="0"/>
  </cellStyleXfs>
  <cellXfs count="155">
    <xf numFmtId="0" fontId="0" fillId="0" borderId="0" xfId="0"/>
    <xf numFmtId="0" fontId="10" fillId="2" borderId="0" xfId="0" applyFont="1" applyFill="1" applyAlignment="1">
      <alignment horizontal="center"/>
    </xf>
    <xf numFmtId="164" fontId="10" fillId="2" borderId="0" xfId="0" applyNumberFormat="1" applyFont="1" applyFill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10" fillId="0" borderId="0" xfId="0" applyFont="1" applyFill="1" applyAlignment="1">
      <alignment horizontal="center"/>
    </xf>
    <xf numFmtId="0" fontId="0" fillId="0" borderId="0" xfId="0" applyFill="1" applyAlignment="1">
      <alignment horizontal="center"/>
    </xf>
    <xf numFmtId="0" fontId="0" fillId="0" borderId="0" xfId="0" applyFill="1"/>
    <xf numFmtId="0" fontId="10" fillId="3" borderId="0" xfId="0" applyFont="1" applyFill="1" applyAlignment="1">
      <alignment horizontal="center" vertical="center"/>
    </xf>
    <xf numFmtId="0" fontId="13" fillId="0" borderId="0" xfId="0" applyFont="1" applyAlignment="1">
      <alignment vertical="center"/>
    </xf>
    <xf numFmtId="167" fontId="12" fillId="0" borderId="0" xfId="0" applyNumberFormat="1" applyFont="1" applyBorder="1" applyAlignment="1">
      <alignment vertical="center"/>
    </xf>
    <xf numFmtId="0" fontId="15" fillId="0" borderId="0" xfId="0" applyFont="1" applyFill="1"/>
    <xf numFmtId="164" fontId="14" fillId="0" borderId="0" xfId="0" applyNumberFormat="1" applyFont="1" applyFill="1" applyAlignment="1">
      <alignment vertical="center"/>
    </xf>
    <xf numFmtId="0" fontId="17" fillId="0" borderId="0" xfId="0" applyFont="1" applyAlignment="1">
      <alignment vertical="center"/>
    </xf>
    <xf numFmtId="0" fontId="10" fillId="3" borderId="0" xfId="0" applyFont="1" applyFill="1" applyAlignment="1">
      <alignment horizontal="center"/>
    </xf>
    <xf numFmtId="14" fontId="0" fillId="0" borderId="0" xfId="0" applyNumberFormat="1"/>
    <xf numFmtId="14" fontId="10" fillId="3" borderId="0" xfId="0" applyNumberFormat="1" applyFont="1" applyFill="1" applyAlignment="1">
      <alignment horizontal="center"/>
    </xf>
    <xf numFmtId="164" fontId="10" fillId="3" borderId="0" xfId="0" applyNumberFormat="1" applyFont="1" applyFill="1" applyAlignment="1">
      <alignment horizontal="center"/>
    </xf>
    <xf numFmtId="0" fontId="18" fillId="0" borderId="0" xfId="0" applyFont="1" applyFill="1" applyAlignment="1">
      <alignment horizontal="center"/>
    </xf>
    <xf numFmtId="168" fontId="10" fillId="3" borderId="0" xfId="0" applyNumberFormat="1" applyFont="1" applyFill="1" applyAlignment="1">
      <alignment horizontal="center"/>
    </xf>
    <xf numFmtId="168" fontId="0" fillId="0" borderId="0" xfId="0" applyNumberFormat="1"/>
    <xf numFmtId="0" fontId="0" fillId="0" borderId="0" xfId="0" applyAlignment="1">
      <alignment horizontal="center" vertical="center"/>
    </xf>
    <xf numFmtId="164" fontId="0" fillId="0" borderId="0" xfId="1" applyFont="1"/>
    <xf numFmtId="14" fontId="10" fillId="3" borderId="0" xfId="0" applyNumberFormat="1" applyFont="1" applyFill="1" applyAlignment="1">
      <alignment horizontal="center" vertical="center"/>
    </xf>
    <xf numFmtId="14" fontId="0" fillId="0" borderId="0" xfId="0" applyNumberFormat="1" applyAlignment="1">
      <alignment horizontal="center"/>
    </xf>
    <xf numFmtId="164" fontId="10" fillId="3" borderId="0" xfId="1" applyFont="1" applyFill="1" applyAlignment="1">
      <alignment horizontal="center" vertical="center"/>
    </xf>
    <xf numFmtId="14" fontId="13" fillId="0" borderId="0" xfId="0" applyNumberFormat="1" applyFont="1" applyAlignment="1">
      <alignment vertical="center"/>
    </xf>
    <xf numFmtId="0" fontId="20" fillId="0" borderId="0" xfId="0" applyFont="1" applyAlignment="1">
      <alignment horizontal="center"/>
    </xf>
    <xf numFmtId="0" fontId="0" fillId="0" borderId="20" xfId="0" applyBorder="1"/>
    <xf numFmtId="0" fontId="0" fillId="0" borderId="0" xfId="0" applyAlignment="1"/>
    <xf numFmtId="0" fontId="0" fillId="0" borderId="0" xfId="0" applyAlignment="1">
      <alignment horizontal="right"/>
    </xf>
    <xf numFmtId="0" fontId="10" fillId="2" borderId="0" xfId="0" applyFont="1" applyFill="1"/>
    <xf numFmtId="0" fontId="0" fillId="0" borderId="0" xfId="0" applyNumberFormat="1"/>
    <xf numFmtId="164" fontId="0" fillId="0" borderId="0" xfId="1" applyFont="1" applyAlignment="1">
      <alignment horizontal="center"/>
    </xf>
    <xf numFmtId="164" fontId="10" fillId="0" borderId="0" xfId="0" applyNumberFormat="1" applyFont="1" applyFill="1" applyAlignment="1">
      <alignment horizontal="center" vertical="center"/>
    </xf>
    <xf numFmtId="0" fontId="10" fillId="3" borderId="0" xfId="0" applyNumberFormat="1" applyFont="1" applyFill="1" applyAlignment="1">
      <alignment horizontal="center" vertical="center"/>
    </xf>
    <xf numFmtId="0" fontId="10" fillId="3" borderId="0" xfId="0" applyFont="1" applyFill="1" applyAlignment="1">
      <alignment horizontal="center" vertical="center"/>
    </xf>
    <xf numFmtId="0" fontId="0" fillId="0" borderId="0" xfId="1" applyNumberFormat="1" applyFont="1" applyAlignment="1">
      <alignment horizontal="center"/>
    </xf>
    <xf numFmtId="0" fontId="0" fillId="0" borderId="0" xfId="0" applyNumberFormat="1" applyAlignment="1">
      <alignment horizontal="center"/>
    </xf>
    <xf numFmtId="14" fontId="0" fillId="0" borderId="0" xfId="1" applyNumberFormat="1" applyFont="1"/>
    <xf numFmtId="0" fontId="13" fillId="0" borderId="0" xfId="0" applyNumberFormat="1" applyFont="1" applyAlignment="1">
      <alignment vertical="center"/>
    </xf>
    <xf numFmtId="0" fontId="10" fillId="3" borderId="0" xfId="0" applyNumberFormat="1" applyFont="1" applyFill="1" applyAlignment="1">
      <alignment horizontal="center"/>
    </xf>
    <xf numFmtId="14" fontId="10" fillId="0" borderId="0" xfId="0" applyNumberFormat="1" applyFont="1" applyProtection="1">
      <protection locked="0"/>
    </xf>
    <xf numFmtId="0" fontId="10" fillId="0" borderId="0" xfId="0" applyFont="1" applyProtection="1">
      <protection locked="0"/>
    </xf>
    <xf numFmtId="0" fontId="2" fillId="0" borderId="0" xfId="0" applyFont="1" applyAlignment="1" applyProtection="1">
      <protection locked="0"/>
    </xf>
    <xf numFmtId="14" fontId="4" fillId="0" borderId="0" xfId="0" applyNumberFormat="1" applyFont="1" applyAlignment="1" applyProtection="1">
      <alignment vertical="center"/>
      <protection locked="0"/>
    </xf>
    <xf numFmtId="0" fontId="21" fillId="0" borderId="0" xfId="0" applyFont="1" applyFill="1" applyAlignment="1" applyProtection="1">
      <alignment horizontal="center"/>
      <protection locked="0"/>
    </xf>
    <xf numFmtId="0" fontId="10" fillId="0" borderId="0" xfId="0" applyFont="1" applyFill="1" applyAlignment="1" applyProtection="1">
      <alignment horizontal="center"/>
      <protection locked="0"/>
    </xf>
    <xf numFmtId="164" fontId="10" fillId="0" borderId="0" xfId="0" applyNumberFormat="1" applyFont="1" applyFill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4" fillId="0" borderId="0" xfId="0" applyFont="1" applyAlignment="1" applyProtection="1">
      <alignment vertical="center"/>
      <protection locked="0"/>
    </xf>
    <xf numFmtId="0" fontId="10" fillId="0" borderId="0" xfId="0" applyFont="1" applyFill="1" applyProtection="1">
      <protection locked="0"/>
    </xf>
    <xf numFmtId="0" fontId="0" fillId="0" borderId="0" xfId="0" applyFill="1" applyProtection="1">
      <protection locked="0"/>
    </xf>
    <xf numFmtId="164" fontId="0" fillId="0" borderId="0" xfId="0" applyNumberFormat="1" applyFill="1" applyProtection="1">
      <protection locked="0"/>
    </xf>
    <xf numFmtId="0" fontId="2" fillId="0" borderId="0" xfId="0" applyFont="1" applyProtection="1">
      <protection locked="0"/>
    </xf>
    <xf numFmtId="0" fontId="4" fillId="0" borderId="0" xfId="0" applyFont="1" applyAlignment="1" applyProtection="1">
      <alignment horizontal="left" vertical="center"/>
      <protection locked="0"/>
    </xf>
    <xf numFmtId="0" fontId="3" fillId="0" borderId="0" xfId="0" applyFont="1" applyAlignment="1" applyProtection="1">
      <alignment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4" fillId="0" borderId="0" xfId="0" applyFont="1" applyAlignment="1" applyProtection="1">
      <alignment horizontal="right" vertical="center"/>
      <protection locked="0"/>
    </xf>
    <xf numFmtId="0" fontId="3" fillId="0" borderId="0" xfId="0" applyFont="1" applyBorder="1" applyAlignment="1" applyProtection="1">
      <alignment vertical="center"/>
      <protection locked="0"/>
    </xf>
    <xf numFmtId="0" fontId="3" fillId="0" borderId="19" xfId="0" applyFont="1" applyBorder="1" applyAlignment="1" applyProtection="1">
      <alignment vertical="center"/>
      <protection locked="0"/>
    </xf>
    <xf numFmtId="0" fontId="3" fillId="0" borderId="8" xfId="0" applyFont="1" applyBorder="1" applyAlignment="1" applyProtection="1">
      <alignment vertical="center"/>
      <protection locked="0"/>
    </xf>
    <xf numFmtId="166" fontId="3" fillId="0" borderId="8" xfId="0" applyNumberFormat="1" applyFont="1" applyBorder="1" applyAlignment="1" applyProtection="1">
      <alignment vertical="center"/>
      <protection locked="0"/>
    </xf>
    <xf numFmtId="0" fontId="3" fillId="0" borderId="1" xfId="0" applyFont="1" applyBorder="1" applyAlignment="1" applyProtection="1">
      <alignment vertical="center"/>
      <protection locked="0"/>
    </xf>
    <xf numFmtId="14" fontId="10" fillId="2" borderId="0" xfId="0" applyNumberFormat="1" applyFont="1" applyFill="1" applyAlignment="1" applyProtection="1">
      <alignment horizontal="center"/>
      <protection locked="0"/>
    </xf>
    <xf numFmtId="0" fontId="10" fillId="2" borderId="0" xfId="0" applyFont="1" applyFill="1" applyAlignment="1" applyProtection="1">
      <alignment horizontal="center"/>
      <protection locked="0"/>
    </xf>
    <xf numFmtId="14" fontId="10" fillId="2" borderId="0" xfId="0" applyNumberFormat="1" applyFont="1" applyFill="1" applyAlignment="1" applyProtection="1">
      <alignment horizontal="center" vertical="center"/>
      <protection locked="0"/>
    </xf>
    <xf numFmtId="0" fontId="5" fillId="2" borderId="8" xfId="0" applyFont="1" applyFill="1" applyBorder="1" applyAlignment="1" applyProtection="1">
      <alignment horizontal="center" vertical="center"/>
      <protection locked="0"/>
    </xf>
    <xf numFmtId="0" fontId="5" fillId="2" borderId="2" xfId="0" applyFont="1" applyFill="1" applyBorder="1" applyAlignment="1" applyProtection="1">
      <alignment horizontal="center" vertical="center"/>
      <protection locked="0"/>
    </xf>
    <xf numFmtId="0" fontId="21" fillId="2" borderId="0" xfId="0" applyFont="1" applyFill="1" applyAlignment="1" applyProtection="1">
      <alignment horizontal="center" vertical="center"/>
      <protection locked="0"/>
    </xf>
    <xf numFmtId="0" fontId="3" fillId="0" borderId="1" xfId="0" applyFont="1" applyBorder="1" applyAlignment="1" applyProtection="1">
      <alignment horizontal="right" vertical="center"/>
      <protection locked="0"/>
    </xf>
    <xf numFmtId="0" fontId="3" fillId="0" borderId="2" xfId="0" applyFont="1" applyBorder="1" applyAlignment="1" applyProtection="1">
      <alignment horizontal="left" vertical="center"/>
      <protection locked="0"/>
    </xf>
    <xf numFmtId="164" fontId="3" fillId="0" borderId="2" xfId="0" applyNumberFormat="1" applyFont="1" applyBorder="1" applyAlignment="1" applyProtection="1">
      <alignment horizontal="center" vertical="center"/>
      <protection locked="0"/>
    </xf>
    <xf numFmtId="164" fontId="3" fillId="0" borderId="18" xfId="0" applyNumberFormat="1" applyFont="1" applyBorder="1" applyAlignment="1" applyProtection="1">
      <alignment horizontal="center" vertical="center"/>
      <protection locked="0"/>
    </xf>
    <xf numFmtId="0" fontId="3" fillId="0" borderId="3" xfId="0" applyFont="1" applyBorder="1" applyAlignment="1" applyProtection="1">
      <alignment horizontal="left" vertical="center"/>
      <protection locked="0"/>
    </xf>
    <xf numFmtId="164" fontId="3" fillId="0" borderId="3" xfId="0" applyNumberFormat="1" applyFont="1" applyBorder="1" applyAlignment="1" applyProtection="1">
      <alignment horizontal="center" vertical="center"/>
      <protection locked="0"/>
    </xf>
    <xf numFmtId="164" fontId="3" fillId="0" borderId="8" xfId="0" applyNumberFormat="1" applyFont="1" applyBorder="1" applyAlignment="1" applyProtection="1">
      <alignment horizontal="center" vertical="center"/>
      <protection locked="0"/>
    </xf>
    <xf numFmtId="0" fontId="21" fillId="0" borderId="0" xfId="0" applyFont="1" applyBorder="1" applyProtection="1">
      <protection locked="0"/>
    </xf>
    <xf numFmtId="0" fontId="10" fillId="0" borderId="0" xfId="0" applyFont="1" applyBorder="1" applyProtection="1">
      <protection locked="0"/>
    </xf>
    <xf numFmtId="0" fontId="2" fillId="0" borderId="0" xfId="0" applyFont="1" applyBorder="1" applyProtection="1">
      <protection locked="0"/>
    </xf>
    <xf numFmtId="0" fontId="3" fillId="0" borderId="0" xfId="0" applyFont="1" applyBorder="1" applyAlignment="1" applyProtection="1">
      <protection locked="0"/>
    </xf>
    <xf numFmtId="164" fontId="3" fillId="0" borderId="0" xfId="0" applyNumberFormat="1" applyFont="1" applyBorder="1" applyAlignment="1" applyProtection="1">
      <protection locked="0"/>
    </xf>
    <xf numFmtId="0" fontId="3" fillId="0" borderId="10" xfId="0" applyFont="1" applyBorder="1" applyAlignment="1" applyProtection="1">
      <protection locked="0"/>
    </xf>
    <xf numFmtId="0" fontId="2" fillId="0" borderId="0" xfId="0" applyFont="1" applyBorder="1" applyAlignment="1" applyProtection="1">
      <protection locked="0"/>
    </xf>
    <xf numFmtId="0" fontId="0" fillId="0" borderId="0" xfId="0" applyBorder="1" applyProtection="1">
      <protection locked="0"/>
    </xf>
    <xf numFmtId="0" fontId="21" fillId="0" borderId="0" xfId="0" applyFont="1" applyProtection="1">
      <protection locked="0"/>
    </xf>
    <xf numFmtId="165" fontId="4" fillId="0" borderId="0" xfId="0" applyNumberFormat="1" applyFont="1" applyAlignment="1" applyProtection="1">
      <alignment vertical="center"/>
      <protection hidden="1"/>
    </xf>
    <xf numFmtId="0" fontId="3" fillId="0" borderId="18" xfId="0" applyFont="1" applyBorder="1" applyAlignment="1" applyProtection="1">
      <alignment horizontal="center" vertical="center"/>
      <protection hidden="1"/>
    </xf>
    <xf numFmtId="0" fontId="0" fillId="4" borderId="0" xfId="0" applyFill="1"/>
    <xf numFmtId="0" fontId="10" fillId="2" borderId="0" xfId="0" applyFont="1" applyFill="1" applyAlignment="1">
      <alignment horizontal="center" vertical="center"/>
    </xf>
    <xf numFmtId="14" fontId="10" fillId="2" borderId="0" xfId="0" applyNumberFormat="1" applyFont="1" applyFill="1" applyAlignment="1">
      <alignment horizontal="center"/>
    </xf>
    <xf numFmtId="0" fontId="11" fillId="0" borderId="0" xfId="0" applyFont="1" applyAlignment="1">
      <alignment vertical="center"/>
    </xf>
    <xf numFmtId="0" fontId="26" fillId="0" borderId="0" xfId="0" applyFont="1"/>
    <xf numFmtId="0" fontId="27" fillId="2" borderId="0" xfId="0" applyFont="1" applyFill="1" applyAlignment="1">
      <alignment horizontal="center" vertical="center"/>
    </xf>
    <xf numFmtId="0" fontId="11" fillId="0" borderId="0" xfId="0" applyNumberFormat="1" applyFont="1" applyAlignment="1">
      <alignment vertical="center"/>
    </xf>
    <xf numFmtId="0" fontId="10" fillId="2" borderId="0" xfId="0" applyNumberFormat="1" applyFont="1" applyFill="1" applyAlignment="1">
      <alignment horizontal="center" vertical="center"/>
    </xf>
    <xf numFmtId="17" fontId="25" fillId="0" borderId="0" xfId="0" applyNumberFormat="1" applyFont="1" applyAlignment="1">
      <alignment horizontal="center" vertical="center"/>
    </xf>
    <xf numFmtId="0" fontId="28" fillId="0" borderId="0" xfId="0" applyFont="1" applyAlignment="1">
      <alignment vertical="center"/>
    </xf>
    <xf numFmtId="0" fontId="26" fillId="0" borderId="0" xfId="0" applyFont="1" applyBorder="1" applyAlignment="1" applyProtection="1">
      <alignment horizontal="center" vertical="center"/>
      <protection hidden="1"/>
    </xf>
    <xf numFmtId="170" fontId="0" fillId="0" borderId="0" xfId="0" applyNumberFormat="1" applyAlignment="1">
      <alignment horizontal="left"/>
    </xf>
    <xf numFmtId="3" fontId="3" fillId="0" borderId="4" xfId="0" applyNumberFormat="1" applyFont="1" applyBorder="1" applyAlignment="1" applyProtection="1">
      <alignment horizontal="right" vertical="center"/>
      <protection locked="0"/>
    </xf>
    <xf numFmtId="3" fontId="3" fillId="0" borderId="1" xfId="0" applyNumberFormat="1" applyFont="1" applyBorder="1" applyAlignment="1" applyProtection="1">
      <alignment horizontal="right" vertical="center"/>
      <protection locked="0"/>
    </xf>
    <xf numFmtId="19" fontId="3" fillId="0" borderId="8" xfId="0" applyNumberFormat="1" applyFont="1" applyBorder="1" applyAlignment="1" applyProtection="1">
      <alignment vertical="center"/>
      <protection locked="0"/>
    </xf>
    <xf numFmtId="0" fontId="4" fillId="0" borderId="0" xfId="0" applyFont="1" applyAlignment="1" applyProtection="1">
      <alignment horizontal="right" vertical="center"/>
      <protection locked="0"/>
    </xf>
    <xf numFmtId="0" fontId="7" fillId="0" borderId="0" xfId="0" applyFont="1" applyBorder="1" applyAlignment="1" applyProtection="1">
      <alignment horizontal="center" vertical="center" wrapText="1"/>
      <protection locked="0"/>
    </xf>
    <xf numFmtId="0" fontId="7" fillId="0" borderId="19" xfId="0" applyFont="1" applyBorder="1" applyAlignment="1" applyProtection="1">
      <alignment horizontal="center" vertical="center" wrapText="1"/>
      <protection locked="0"/>
    </xf>
    <xf numFmtId="0" fontId="7" fillId="0" borderId="0" xfId="0" applyFont="1" applyBorder="1" applyAlignment="1" applyProtection="1">
      <alignment horizontal="center" vertical="center"/>
      <protection locked="0"/>
    </xf>
    <xf numFmtId="0" fontId="7" fillId="0" borderId="19" xfId="0" applyFont="1" applyBorder="1" applyAlignment="1" applyProtection="1">
      <alignment horizontal="center" vertical="center"/>
      <protection locked="0"/>
    </xf>
    <xf numFmtId="0" fontId="8" fillId="2" borderId="0" xfId="0" applyFont="1" applyFill="1" applyAlignment="1" applyProtection="1">
      <alignment horizontal="center" vertical="center"/>
      <protection locked="0"/>
    </xf>
    <xf numFmtId="0" fontId="2" fillId="0" borderId="0" xfId="0" applyFont="1" applyAlignment="1" applyProtection="1">
      <alignment horizontal="center"/>
      <protection locked="0"/>
    </xf>
    <xf numFmtId="0" fontId="3" fillId="0" borderId="0" xfId="0" applyFont="1" applyBorder="1" applyAlignment="1" applyProtection="1">
      <alignment horizontal="center"/>
      <protection locked="0"/>
    </xf>
    <xf numFmtId="0" fontId="3" fillId="0" borderId="0" xfId="0" applyFont="1" applyBorder="1" applyAlignment="1" applyProtection="1">
      <alignment horizontal="center" vertical="center"/>
      <protection locked="0"/>
    </xf>
    <xf numFmtId="0" fontId="1" fillId="2" borderId="0" xfId="0" applyFont="1" applyFill="1" applyBorder="1" applyAlignment="1" applyProtection="1">
      <alignment horizontal="center" vertical="center"/>
      <protection locked="0"/>
    </xf>
    <xf numFmtId="0" fontId="9" fillId="0" borderId="8" xfId="0" applyFont="1" applyBorder="1" applyAlignment="1" applyProtection="1">
      <alignment horizontal="center" vertical="center"/>
      <protection locked="0"/>
    </xf>
    <xf numFmtId="0" fontId="9" fillId="0" borderId="8" xfId="0" applyNumberFormat="1" applyFont="1" applyBorder="1" applyAlignment="1" applyProtection="1">
      <alignment horizontal="center" vertical="center"/>
      <protection locked="0"/>
    </xf>
    <xf numFmtId="0" fontId="3" fillId="0" borderId="6" xfId="0" applyFont="1" applyBorder="1" applyAlignment="1" applyProtection="1">
      <alignment horizontal="left" vertical="center"/>
      <protection locked="0"/>
    </xf>
    <xf numFmtId="0" fontId="3" fillId="0" borderId="3" xfId="0" applyFont="1" applyBorder="1" applyAlignment="1" applyProtection="1">
      <alignment horizontal="left" vertical="center"/>
      <protection locked="0"/>
    </xf>
    <xf numFmtId="0" fontId="29" fillId="0" borderId="6" xfId="0" applyNumberFormat="1" applyFont="1" applyBorder="1" applyAlignment="1" applyProtection="1">
      <alignment horizontal="center" vertical="center"/>
      <protection locked="0"/>
    </xf>
    <xf numFmtId="0" fontId="29" fillId="0" borderId="3" xfId="0" applyNumberFormat="1" applyFont="1" applyBorder="1" applyAlignment="1" applyProtection="1">
      <alignment horizontal="center" vertical="center"/>
      <protection locked="0"/>
    </xf>
    <xf numFmtId="0" fontId="23" fillId="0" borderId="16" xfId="0" applyFont="1" applyBorder="1" applyAlignment="1" applyProtection="1">
      <alignment horizontal="center" vertical="center" wrapText="1"/>
      <protection locked="0"/>
    </xf>
    <xf numFmtId="0" fontId="23" fillId="0" borderId="11" xfId="0" applyFont="1" applyBorder="1" applyAlignment="1" applyProtection="1">
      <alignment horizontal="center" vertical="center" wrapText="1"/>
      <protection locked="0"/>
    </xf>
    <xf numFmtId="0" fontId="23" fillId="0" borderId="12" xfId="0" applyFont="1" applyBorder="1" applyAlignment="1" applyProtection="1">
      <alignment horizontal="center" vertical="center" wrapText="1"/>
      <protection locked="0"/>
    </xf>
    <xf numFmtId="0" fontId="23" fillId="0" borderId="17" xfId="0" applyFont="1" applyBorder="1" applyAlignment="1" applyProtection="1">
      <alignment horizontal="center" vertical="center" wrapText="1"/>
      <protection locked="0"/>
    </xf>
    <xf numFmtId="0" fontId="23" fillId="0" borderId="0" xfId="0" applyFont="1" applyBorder="1" applyAlignment="1" applyProtection="1">
      <alignment horizontal="center" vertical="center" wrapText="1"/>
      <protection locked="0"/>
    </xf>
    <xf numFmtId="0" fontId="23" fillId="0" borderId="13" xfId="0" applyFont="1" applyBorder="1" applyAlignment="1" applyProtection="1">
      <alignment horizontal="center" vertical="center" wrapText="1"/>
      <protection locked="0"/>
    </xf>
    <xf numFmtId="0" fontId="23" fillId="0" borderId="15" xfId="0" applyFont="1" applyBorder="1" applyAlignment="1" applyProtection="1">
      <alignment horizontal="center" vertical="center" wrapText="1"/>
      <protection locked="0"/>
    </xf>
    <xf numFmtId="0" fontId="23" fillId="0" borderId="10" xfId="0" applyFont="1" applyBorder="1" applyAlignment="1" applyProtection="1">
      <alignment horizontal="center" vertical="center" wrapText="1"/>
      <protection locked="0"/>
    </xf>
    <xf numFmtId="0" fontId="23" fillId="0" borderId="14" xfId="0" applyFont="1" applyBorder="1" applyAlignment="1" applyProtection="1">
      <alignment horizontal="center" vertical="center" wrapText="1"/>
      <protection locked="0"/>
    </xf>
    <xf numFmtId="0" fontId="6" fillId="0" borderId="6" xfId="0" applyFont="1" applyBorder="1" applyAlignment="1" applyProtection="1">
      <alignment horizontal="center" vertical="center"/>
      <protection locked="0"/>
    </xf>
    <xf numFmtId="0" fontId="6" fillId="0" borderId="4" xfId="0" applyFont="1" applyBorder="1" applyAlignment="1" applyProtection="1">
      <alignment horizontal="center" vertical="center"/>
      <protection locked="0"/>
    </xf>
    <xf numFmtId="0" fontId="6" fillId="0" borderId="3" xfId="0" applyFont="1" applyBorder="1" applyAlignment="1" applyProtection="1">
      <alignment horizontal="center" vertical="center"/>
      <protection locked="0"/>
    </xf>
    <xf numFmtId="0" fontId="6" fillId="0" borderId="8" xfId="0" applyFont="1" applyBorder="1" applyAlignment="1" applyProtection="1">
      <alignment horizontal="center" vertical="center"/>
      <protection hidden="1"/>
    </xf>
    <xf numFmtId="164" fontId="24" fillId="0" borderId="9" xfId="0" applyNumberFormat="1" applyFont="1" applyBorder="1" applyAlignment="1" applyProtection="1">
      <alignment horizontal="center" vertical="center"/>
      <protection hidden="1"/>
    </xf>
    <xf numFmtId="164" fontId="24" fillId="0" borderId="5" xfId="0" applyNumberFormat="1" applyFont="1" applyBorder="1" applyAlignment="1" applyProtection="1">
      <alignment horizontal="center" vertical="center"/>
      <protection hidden="1"/>
    </xf>
    <xf numFmtId="0" fontId="3" fillId="0" borderId="6" xfId="0" applyFont="1" applyBorder="1" applyAlignment="1" applyProtection="1">
      <alignment horizontal="left" vertical="center" wrapText="1"/>
      <protection locked="0"/>
    </xf>
    <xf numFmtId="0" fontId="3" fillId="0" borderId="3" xfId="0" applyFont="1" applyBorder="1" applyAlignment="1" applyProtection="1">
      <alignment horizontal="left" vertical="center" wrapText="1"/>
      <protection locked="0"/>
    </xf>
    <xf numFmtId="0" fontId="5" fillId="2" borderId="7" xfId="0" applyFont="1" applyFill="1" applyBorder="1" applyAlignment="1" applyProtection="1">
      <alignment horizontal="center" vertical="center"/>
      <protection locked="0"/>
    </xf>
    <xf numFmtId="0" fontId="5" fillId="2" borderId="2" xfId="0" applyFont="1" applyFill="1" applyBorder="1" applyAlignment="1" applyProtection="1">
      <alignment horizontal="center" vertical="center"/>
      <protection locked="0"/>
    </xf>
    <xf numFmtId="0" fontId="3" fillId="0" borderId="7" xfId="0" applyFont="1" applyBorder="1" applyAlignment="1" applyProtection="1">
      <alignment horizontal="left" vertical="center" wrapText="1"/>
      <protection locked="0"/>
    </xf>
    <xf numFmtId="0" fontId="3" fillId="0" borderId="2" xfId="0" applyFont="1" applyBorder="1" applyAlignment="1" applyProtection="1">
      <alignment horizontal="left" vertical="center" wrapText="1"/>
      <protection locked="0"/>
    </xf>
    <xf numFmtId="0" fontId="5" fillId="2" borderId="1" xfId="0" applyFont="1" applyFill="1" applyBorder="1" applyAlignment="1" applyProtection="1">
      <alignment horizontal="center" vertical="center"/>
      <protection locked="0"/>
    </xf>
    <xf numFmtId="167" fontId="12" fillId="0" borderId="21" xfId="0" applyNumberFormat="1" applyFont="1" applyBorder="1" applyAlignment="1">
      <alignment horizontal="center" vertical="center"/>
    </xf>
    <xf numFmtId="167" fontId="12" fillId="0" borderId="22" xfId="0" applyNumberFormat="1" applyFont="1" applyBorder="1" applyAlignment="1">
      <alignment horizontal="center" vertical="center"/>
    </xf>
    <xf numFmtId="167" fontId="12" fillId="0" borderId="23" xfId="0" applyNumberFormat="1" applyFont="1" applyBorder="1" applyAlignment="1">
      <alignment horizontal="center" vertical="center"/>
    </xf>
    <xf numFmtId="167" fontId="12" fillId="0" borderId="24" xfId="0" applyNumberFormat="1" applyFont="1" applyBorder="1" applyAlignment="1">
      <alignment horizontal="center" vertical="center"/>
    </xf>
    <xf numFmtId="167" fontId="12" fillId="0" borderId="0" xfId="0" applyNumberFormat="1" applyFont="1" applyBorder="1" applyAlignment="1">
      <alignment horizontal="center" vertical="center"/>
    </xf>
    <xf numFmtId="167" fontId="12" fillId="0" borderId="25" xfId="0" applyNumberFormat="1" applyFont="1" applyBorder="1" applyAlignment="1">
      <alignment horizontal="center" vertical="center"/>
    </xf>
    <xf numFmtId="167" fontId="12" fillId="0" borderId="26" xfId="0" applyNumberFormat="1" applyFont="1" applyBorder="1" applyAlignment="1">
      <alignment horizontal="center" vertical="center"/>
    </xf>
    <xf numFmtId="167" fontId="12" fillId="0" borderId="27" xfId="0" applyNumberFormat="1" applyFont="1" applyBorder="1" applyAlignment="1">
      <alignment horizontal="center" vertical="center"/>
    </xf>
    <xf numFmtId="167" fontId="12" fillId="0" borderId="28" xfId="0" applyNumberFormat="1" applyFont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164" fontId="16" fillId="3" borderId="0" xfId="0" applyNumberFormat="1" applyFont="1" applyFill="1" applyAlignment="1">
      <alignment horizontal="center" vertical="center"/>
    </xf>
    <xf numFmtId="0" fontId="10" fillId="3" borderId="0" xfId="0" applyFont="1" applyFill="1" applyAlignment="1">
      <alignment horizontal="center" vertical="center"/>
    </xf>
    <xf numFmtId="169" fontId="30" fillId="0" borderId="0" xfId="0" applyNumberFormat="1" applyFont="1" applyAlignment="1">
      <alignment horizontal="center" vertical="center"/>
    </xf>
    <xf numFmtId="0" fontId="26" fillId="0" borderId="0" xfId="0" applyFont="1" applyAlignment="1">
      <alignment horizontal="center" vertical="center"/>
    </xf>
  </cellXfs>
  <cellStyles count="2">
    <cellStyle name="Currency [0]" xfId="1" builtinId="7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5486400" cy="1314450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87B8527-F254-4EDE-A102-A89A9B1BF7BB}"/>
            </a:ext>
          </a:extLst>
        </xdr:cNvPr>
        <xdr:cNvSpPr/>
      </xdr:nvSpPr>
      <xdr:spPr>
        <a:xfrm>
          <a:off x="0" y="0"/>
          <a:ext cx="5486400" cy="1314450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id-ID" sz="8800" b="1" cap="none" spc="0">
              <a:ln w="6600">
                <a:solidFill>
                  <a:schemeClr val="accent2"/>
                </a:solidFill>
                <a:prstDash val="solid"/>
              </a:ln>
              <a:solidFill>
                <a:srgbClr val="FFFFFF"/>
              </a:solidFill>
              <a:effectLst>
                <a:outerShdw dist="38100" dir="2700000" algn="tl" rotWithShape="0">
                  <a:schemeClr val="accent2"/>
                </a:outerShdw>
              </a:effectLst>
              <a:latin typeface="Edwardian Script ITC" pitchFamily="66" charset="0"/>
            </a:rPr>
            <a:t>12 </a:t>
          </a:r>
          <a:r>
            <a:rPr lang="id-ID" sz="8000" b="1" cap="none" spc="0">
              <a:ln w="6600">
                <a:solidFill>
                  <a:schemeClr val="accent2"/>
                </a:solidFill>
                <a:prstDash val="solid"/>
              </a:ln>
              <a:solidFill>
                <a:srgbClr val="FFFFFF"/>
              </a:solidFill>
              <a:effectLst>
                <a:outerShdw dist="38100" dir="2700000" algn="tl" rotWithShape="0">
                  <a:schemeClr val="accent2"/>
                </a:outerShdw>
              </a:effectLst>
              <a:latin typeface="Edwardian Script ITC" pitchFamily="66" charset="0"/>
            </a:rPr>
            <a:t>Laundry</a:t>
          </a:r>
          <a:endParaRPr lang="en-US" sz="8000" b="1" cap="none" spc="0">
            <a:ln w="6600">
              <a:solidFill>
                <a:schemeClr val="accent2"/>
              </a:solidFill>
              <a:prstDash val="solid"/>
            </a:ln>
            <a:solidFill>
              <a:srgbClr val="FFFFFF"/>
            </a:solidFill>
            <a:effectLst>
              <a:outerShdw dist="38100" dir="2700000" algn="tl" rotWithShape="0">
                <a:schemeClr val="accent2"/>
              </a:outerShdw>
            </a:effectLst>
            <a:latin typeface="Edwardian Script ITC" pitchFamily="66" charset="0"/>
          </a:endParaRPr>
        </a:p>
      </xdr:txBody>
    </xdr:sp>
    <xdr:clientData/>
  </xdr:oneCellAnchor>
  <xdr:twoCellAnchor>
    <xdr:from>
      <xdr:col>2</xdr:col>
      <xdr:colOff>291353</xdr:colOff>
      <xdr:row>13</xdr:row>
      <xdr:rowOff>134470</xdr:rowOff>
    </xdr:from>
    <xdr:to>
      <xdr:col>6</xdr:col>
      <xdr:colOff>358588</xdr:colOff>
      <xdr:row>16</xdr:row>
      <xdr:rowOff>123265</xdr:rowOff>
    </xdr:to>
    <xdr:sp macro="[0]!INPUTNO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FA2DB1E0-931C-4987-A27A-C6FA573A3643}"/>
            </a:ext>
          </a:extLst>
        </xdr:cNvPr>
        <xdr:cNvSpPr/>
      </xdr:nvSpPr>
      <xdr:spPr>
        <a:xfrm>
          <a:off x="1501588" y="2610970"/>
          <a:ext cx="2487706" cy="56029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800" b="1">
              <a:latin typeface="Arial" panose="020B0604020202020204" pitchFamily="34" charset="0"/>
              <a:cs typeface="Arial" panose="020B0604020202020204" pitchFamily="34" charset="0"/>
            </a:rPr>
            <a:t>INPUT</a:t>
          </a:r>
          <a:r>
            <a:rPr lang="en-US" sz="2800" b="1" baseline="0">
              <a:latin typeface="Arial" panose="020B0604020202020204" pitchFamily="34" charset="0"/>
              <a:cs typeface="Arial" panose="020B0604020202020204" pitchFamily="34" charset="0"/>
            </a:rPr>
            <a:t> NOTA</a:t>
          </a:r>
          <a:endParaRPr lang="id-ID" sz="28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24008</xdr:colOff>
      <xdr:row>0</xdr:row>
      <xdr:rowOff>10821</xdr:rowOff>
    </xdr:from>
    <xdr:ext cx="2259827" cy="468425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085372" y="10821"/>
          <a:ext cx="2259827" cy="468425"/>
        </a:xfrm>
        <a:prstGeom prst="rect">
          <a:avLst/>
        </a:prstGeom>
        <a:noFill/>
      </xdr:spPr>
      <xdr:txBody>
        <a:bodyPr wrap="square" lIns="91440" tIns="45720" rIns="91440" bIns="45720">
          <a:noAutofit/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id-ID" sz="44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  <a:latin typeface="Edwardian Script ITC" pitchFamily="66" charset="0"/>
            </a:rPr>
            <a:t>12 </a:t>
          </a:r>
          <a:r>
            <a:rPr lang="id-ID" sz="40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  <a:latin typeface="Edwardian Script ITC" pitchFamily="66" charset="0"/>
            </a:rPr>
            <a:t>Laundry</a:t>
          </a:r>
          <a:endParaRPr lang="en-US" sz="4000" b="1" cap="none" spc="0">
            <a:ln w="11430"/>
            <a:gradFill>
              <a:gsLst>
                <a:gs pos="0">
                  <a:schemeClr val="accent2">
                    <a:tint val="70000"/>
                    <a:satMod val="245000"/>
                  </a:schemeClr>
                </a:gs>
                <a:gs pos="75000">
                  <a:schemeClr val="accent2">
                    <a:tint val="90000"/>
                    <a:shade val="60000"/>
                    <a:satMod val="240000"/>
                  </a:schemeClr>
                </a:gs>
                <a:gs pos="100000">
                  <a:schemeClr val="accent2">
                    <a:tint val="100000"/>
                    <a:shade val="50000"/>
                    <a:satMod val="240000"/>
                  </a:schemeClr>
                </a:gs>
              </a:gsLst>
              <a:lin ang="5400000"/>
            </a:gradFill>
            <a:effectLst>
              <a:outerShdw blurRad="50800" dist="39000" dir="5460000" algn="tl">
                <a:srgbClr val="000000">
                  <a:alpha val="38000"/>
                </a:srgbClr>
              </a:outerShdw>
            </a:effectLst>
            <a:latin typeface="Edwardian Script ITC" pitchFamily="66" charset="0"/>
          </a:endParaRPr>
        </a:p>
      </xdr:txBody>
    </xdr:sp>
    <xdr:clientData/>
  </xdr:oneCellAnchor>
  <xdr:twoCellAnchor>
    <xdr:from>
      <xdr:col>7</xdr:col>
      <xdr:colOff>65942</xdr:colOff>
      <xdr:row>8</xdr:row>
      <xdr:rowOff>29309</xdr:rowOff>
    </xdr:from>
    <xdr:to>
      <xdr:col>9</xdr:col>
      <xdr:colOff>1106365</xdr:colOff>
      <xdr:row>9</xdr:row>
      <xdr:rowOff>87925</xdr:rowOff>
    </xdr:to>
    <xdr:sp macro="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65942" y="937847"/>
          <a:ext cx="1648558" cy="249116"/>
        </a:xfrm>
        <a:prstGeom prst="roundRect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id-ID" sz="900" b="1">
              <a:latin typeface="Century Gothic" pitchFamily="34" charset="0"/>
            </a:rPr>
            <a:t>HEMAT,</a:t>
          </a:r>
          <a:r>
            <a:rPr lang="id-ID" sz="900" b="1" baseline="0">
              <a:latin typeface="Century Gothic" pitchFamily="34" charset="0"/>
            </a:rPr>
            <a:t> KOMPLIT, EXPRESS</a:t>
          </a:r>
          <a:endParaRPr lang="en-US" sz="900" b="1">
            <a:latin typeface="Century Gothic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19</xdr:col>
      <xdr:colOff>57150</xdr:colOff>
      <xdr:row>5</xdr:row>
      <xdr:rowOff>164306</xdr:rowOff>
    </xdr:from>
    <xdr:ext cx="3009900" cy="876300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15511463" y="1140619"/>
          <a:ext cx="3009900" cy="876300"/>
        </a:xfrm>
        <a:prstGeom prst="rect">
          <a:avLst/>
        </a:prstGeom>
        <a:noFill/>
      </xdr:spPr>
      <xdr:txBody>
        <a:bodyPr wrap="square" lIns="91440" tIns="45720" rIns="91440" bIns="45720">
          <a:noAutofit/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id-ID" sz="60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  <a:latin typeface="Edwardian Script ITC" pitchFamily="66" charset="0"/>
            </a:rPr>
            <a:t>12 </a:t>
          </a:r>
          <a:r>
            <a:rPr lang="id-ID" sz="54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  <a:latin typeface="Edwardian Script ITC" pitchFamily="66" charset="0"/>
            </a:rPr>
            <a:t>Laundry</a:t>
          </a:r>
          <a:endParaRPr lang="en-US" sz="5400" b="1" cap="none" spc="0">
            <a:ln w="11430"/>
            <a:gradFill>
              <a:gsLst>
                <a:gs pos="0">
                  <a:schemeClr val="accent2">
                    <a:tint val="70000"/>
                    <a:satMod val="245000"/>
                  </a:schemeClr>
                </a:gs>
                <a:gs pos="75000">
                  <a:schemeClr val="accent2">
                    <a:tint val="90000"/>
                    <a:shade val="60000"/>
                    <a:satMod val="240000"/>
                  </a:schemeClr>
                </a:gs>
                <a:gs pos="100000">
                  <a:schemeClr val="accent2">
                    <a:tint val="100000"/>
                    <a:shade val="50000"/>
                    <a:satMod val="240000"/>
                  </a:schemeClr>
                </a:gs>
              </a:gsLst>
              <a:lin ang="5400000"/>
            </a:gradFill>
            <a:effectLst>
              <a:outerShdw blurRad="50800" dist="39000" dir="5460000" algn="tl">
                <a:srgbClr val="000000">
                  <a:alpha val="38000"/>
                </a:srgbClr>
              </a:outerShdw>
            </a:effectLst>
            <a:latin typeface="Edwardian Script ITC" pitchFamily="66" charset="0"/>
          </a:endParaRPr>
        </a:p>
      </xdr:txBody>
    </xdr:sp>
    <xdr:clientData/>
  </xdr:oneCellAnchor>
  <xdr:twoCellAnchor>
    <xdr:from>
      <xdr:col>19</xdr:col>
      <xdr:colOff>47625</xdr:colOff>
      <xdr:row>5</xdr:row>
      <xdr:rowOff>19050</xdr:rowOff>
    </xdr:from>
    <xdr:to>
      <xdr:col>32</xdr:col>
      <xdr:colOff>1166812</xdr:colOff>
      <xdr:row>5</xdr:row>
      <xdr:rowOff>71438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5501938" y="983456"/>
          <a:ext cx="12120562" cy="52388"/>
        </a:xfrm>
        <a:prstGeom prst="rect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142874</xdr:colOff>
      <xdr:row>2</xdr:row>
      <xdr:rowOff>104775</xdr:rowOff>
    </xdr:from>
    <xdr:ext cx="2219325" cy="590550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D35981A-0C89-4738-A3C3-CBBCEF0B05F3}"/>
            </a:ext>
          </a:extLst>
        </xdr:cNvPr>
        <xdr:cNvSpPr/>
      </xdr:nvSpPr>
      <xdr:spPr>
        <a:xfrm>
          <a:off x="7943849" y="485775"/>
          <a:ext cx="2219325" cy="590550"/>
        </a:xfrm>
        <a:prstGeom prst="rect">
          <a:avLst/>
        </a:prstGeom>
        <a:noFill/>
      </xdr:spPr>
      <xdr:txBody>
        <a:bodyPr wrap="square" lIns="91440" tIns="45720" rIns="91440" bIns="45720">
          <a:noAutofit/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id-ID" sz="44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  <a:latin typeface="Edwardian Script ITC" pitchFamily="66" charset="0"/>
            </a:rPr>
            <a:t>12 </a:t>
          </a:r>
          <a:r>
            <a:rPr lang="id-ID" sz="40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  <a:latin typeface="Edwardian Script ITC" pitchFamily="66" charset="0"/>
            </a:rPr>
            <a:t>Laundry</a:t>
          </a:r>
          <a:endParaRPr lang="en-US" sz="4000" b="1" cap="none" spc="0">
            <a:ln w="11430"/>
            <a:gradFill>
              <a:gsLst>
                <a:gs pos="0">
                  <a:schemeClr val="accent2">
                    <a:tint val="70000"/>
                    <a:satMod val="245000"/>
                  </a:schemeClr>
                </a:gs>
                <a:gs pos="75000">
                  <a:schemeClr val="accent2">
                    <a:tint val="90000"/>
                    <a:shade val="60000"/>
                    <a:satMod val="240000"/>
                  </a:schemeClr>
                </a:gs>
                <a:gs pos="100000">
                  <a:schemeClr val="accent2">
                    <a:tint val="100000"/>
                    <a:shade val="50000"/>
                    <a:satMod val="240000"/>
                  </a:schemeClr>
                </a:gs>
              </a:gsLst>
              <a:lin ang="5400000"/>
            </a:gradFill>
            <a:effectLst>
              <a:outerShdw blurRad="50800" dist="39000" dir="5460000" algn="tl">
                <a:srgbClr val="000000">
                  <a:alpha val="38000"/>
                </a:srgbClr>
              </a:outerShdw>
            </a:effectLst>
            <a:latin typeface="Edwardian Script ITC" pitchFamily="66" charset="0"/>
          </a:endParaRPr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NotaLaundry/File/terbilang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terbilang"/>
    </sheetNames>
    <definedNames>
      <definedName name="terbilang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501C5B-2718-4AFF-8F01-55119392F547}">
  <sheetPr codeName="Sheet5"/>
  <dimension ref="A1:I30"/>
  <sheetViews>
    <sheetView showGridLines="0" showRowColHeaders="0" view="pageBreakPreview" zoomScale="85" zoomScaleNormal="80" zoomScaleSheetLayoutView="85" workbookViewId="0">
      <selection activeCell="I12" sqref="I12"/>
    </sheetView>
  </sheetViews>
  <sheetFormatPr defaultRowHeight="15" x14ac:dyDescent="0.25"/>
  <sheetData>
    <row r="1" spans="1:9" x14ac:dyDescent="0.25">
      <c r="A1" s="88"/>
      <c r="B1" s="88"/>
      <c r="C1" s="88"/>
      <c r="D1" s="88"/>
      <c r="E1" s="88"/>
      <c r="F1" s="88"/>
      <c r="G1" s="88"/>
      <c r="H1" s="88"/>
      <c r="I1" s="88"/>
    </row>
    <row r="2" spans="1:9" x14ac:dyDescent="0.25">
      <c r="A2" s="88"/>
      <c r="B2" s="88"/>
      <c r="C2" s="88"/>
      <c r="D2" s="88"/>
      <c r="E2" s="88"/>
      <c r="F2" s="88"/>
      <c r="G2" s="88"/>
      <c r="H2" s="88"/>
      <c r="I2" s="88"/>
    </row>
    <row r="3" spans="1:9" x14ac:dyDescent="0.25">
      <c r="A3" s="88"/>
      <c r="B3" s="88"/>
      <c r="C3" s="88"/>
      <c r="D3" s="88"/>
      <c r="E3" s="88"/>
      <c r="F3" s="88"/>
      <c r="G3" s="88"/>
      <c r="H3" s="88"/>
      <c r="I3" s="88"/>
    </row>
    <row r="4" spans="1:9" x14ac:dyDescent="0.25">
      <c r="A4" s="88"/>
      <c r="B4" s="88"/>
      <c r="C4" s="88"/>
      <c r="D4" s="88"/>
      <c r="E4" s="88"/>
      <c r="F4" s="88"/>
      <c r="G4" s="88"/>
      <c r="H4" s="88"/>
      <c r="I4" s="88"/>
    </row>
    <row r="5" spans="1:9" x14ac:dyDescent="0.25">
      <c r="A5" s="88"/>
      <c r="B5" s="88"/>
      <c r="C5" s="88"/>
      <c r="D5" s="88"/>
      <c r="E5" s="88"/>
      <c r="F5" s="88"/>
      <c r="G5" s="88"/>
      <c r="H5" s="88"/>
      <c r="I5" s="88"/>
    </row>
    <row r="6" spans="1:9" x14ac:dyDescent="0.25">
      <c r="A6" s="88"/>
      <c r="B6" s="88"/>
      <c r="C6" s="88"/>
      <c r="D6" s="88"/>
      <c r="E6" s="88"/>
      <c r="F6" s="88"/>
      <c r="G6" s="88"/>
      <c r="H6" s="88"/>
      <c r="I6" s="88"/>
    </row>
    <row r="7" spans="1:9" x14ac:dyDescent="0.25">
      <c r="A7" s="88"/>
      <c r="B7" s="88"/>
      <c r="C7" s="88"/>
      <c r="D7" s="88"/>
      <c r="E7" s="88"/>
      <c r="F7" s="88"/>
      <c r="G7" s="88"/>
      <c r="H7" s="88"/>
      <c r="I7" s="88"/>
    </row>
    <row r="8" spans="1:9" x14ac:dyDescent="0.25">
      <c r="A8" s="88"/>
      <c r="B8" s="88"/>
      <c r="C8" s="88"/>
      <c r="D8" s="88"/>
      <c r="E8" s="88"/>
      <c r="F8" s="88"/>
      <c r="G8" s="88"/>
      <c r="H8" s="88"/>
      <c r="I8" s="88"/>
    </row>
    <row r="9" spans="1:9" x14ac:dyDescent="0.25">
      <c r="A9" s="88"/>
      <c r="B9" s="88"/>
      <c r="C9" s="88"/>
      <c r="D9" s="88"/>
      <c r="E9" s="88"/>
      <c r="F9" s="88"/>
      <c r="G9" s="88"/>
      <c r="H9" s="88"/>
      <c r="I9" s="88"/>
    </row>
    <row r="10" spans="1:9" x14ac:dyDescent="0.25">
      <c r="A10" s="88"/>
      <c r="B10" s="88"/>
      <c r="C10" s="88"/>
      <c r="D10" s="88"/>
      <c r="E10" s="88"/>
      <c r="F10" s="88"/>
      <c r="G10" s="88"/>
      <c r="H10" s="88"/>
      <c r="I10" s="88"/>
    </row>
    <row r="11" spans="1:9" x14ac:dyDescent="0.25">
      <c r="A11" s="88"/>
      <c r="B11" s="88"/>
      <c r="C11" s="88"/>
      <c r="D11" s="88"/>
      <c r="E11" s="88"/>
      <c r="F11" s="88"/>
      <c r="G11" s="88"/>
      <c r="H11" s="88"/>
      <c r="I11" s="88"/>
    </row>
    <row r="12" spans="1:9" x14ac:dyDescent="0.25">
      <c r="A12" s="88"/>
      <c r="B12" s="88"/>
      <c r="C12" s="88"/>
      <c r="D12" s="88"/>
      <c r="E12" s="88"/>
      <c r="F12" s="88"/>
      <c r="G12" s="88"/>
      <c r="H12" s="88"/>
      <c r="I12" s="88"/>
    </row>
    <row r="13" spans="1:9" x14ac:dyDescent="0.25">
      <c r="A13" s="88"/>
      <c r="B13" s="88"/>
      <c r="C13" s="88"/>
      <c r="D13" s="88"/>
      <c r="E13" s="88"/>
      <c r="F13" s="88"/>
      <c r="G13" s="88"/>
      <c r="H13" s="88"/>
      <c r="I13" s="88"/>
    </row>
    <row r="14" spans="1:9" x14ac:dyDescent="0.25">
      <c r="A14" s="88"/>
      <c r="B14" s="88"/>
      <c r="C14" s="88"/>
      <c r="D14" s="88"/>
      <c r="E14" s="88"/>
      <c r="F14" s="88"/>
      <c r="G14" s="88"/>
      <c r="H14" s="88"/>
      <c r="I14" s="88"/>
    </row>
    <row r="15" spans="1:9" x14ac:dyDescent="0.25">
      <c r="A15" s="88"/>
      <c r="B15" s="88"/>
      <c r="C15" s="88"/>
      <c r="D15" s="88"/>
      <c r="E15" s="88"/>
      <c r="F15" s="88"/>
      <c r="G15" s="88"/>
      <c r="H15" s="88"/>
      <c r="I15" s="88"/>
    </row>
    <row r="16" spans="1:9" x14ac:dyDescent="0.25">
      <c r="A16" s="88"/>
      <c r="B16" s="88"/>
      <c r="C16" s="88"/>
      <c r="D16" s="88"/>
      <c r="E16" s="88"/>
      <c r="F16" s="88"/>
      <c r="G16" s="88"/>
      <c r="H16" s="88"/>
      <c r="I16" s="88"/>
    </row>
    <row r="17" spans="1:9" x14ac:dyDescent="0.25">
      <c r="A17" s="88"/>
      <c r="B17" s="88"/>
      <c r="C17" s="88"/>
      <c r="D17" s="88"/>
      <c r="E17" s="88"/>
      <c r="F17" s="88"/>
      <c r="G17" s="88"/>
      <c r="H17" s="88"/>
      <c r="I17" s="88"/>
    </row>
    <row r="18" spans="1:9" x14ac:dyDescent="0.25">
      <c r="A18" s="88"/>
      <c r="B18" s="88"/>
      <c r="C18" s="88"/>
      <c r="D18" s="88"/>
      <c r="E18" s="88"/>
      <c r="F18" s="88"/>
      <c r="G18" s="88"/>
      <c r="H18" s="88"/>
      <c r="I18" s="88"/>
    </row>
    <row r="19" spans="1:9" x14ac:dyDescent="0.25">
      <c r="A19" s="88"/>
      <c r="B19" s="88"/>
      <c r="C19" s="88"/>
      <c r="D19" s="88"/>
      <c r="E19" s="88"/>
      <c r="F19" s="88"/>
      <c r="G19" s="88"/>
      <c r="H19" s="88"/>
      <c r="I19" s="88"/>
    </row>
    <row r="20" spans="1:9" x14ac:dyDescent="0.25">
      <c r="A20" s="88"/>
      <c r="B20" s="88"/>
      <c r="C20" s="88"/>
      <c r="D20" s="88"/>
      <c r="E20" s="88"/>
      <c r="F20" s="88"/>
      <c r="G20" s="88"/>
      <c r="H20" s="88"/>
      <c r="I20" s="88"/>
    </row>
    <row r="21" spans="1:9" x14ac:dyDescent="0.25">
      <c r="A21" s="88"/>
      <c r="B21" s="88"/>
      <c r="C21" s="88"/>
      <c r="D21" s="88"/>
      <c r="E21" s="88"/>
      <c r="F21" s="88"/>
      <c r="G21" s="88"/>
      <c r="H21" s="88"/>
      <c r="I21" s="88"/>
    </row>
    <row r="22" spans="1:9" x14ac:dyDescent="0.25">
      <c r="A22" s="88"/>
      <c r="B22" s="88"/>
      <c r="C22" s="88"/>
      <c r="D22" s="88"/>
      <c r="E22" s="88"/>
      <c r="F22" s="88"/>
      <c r="G22" s="88"/>
      <c r="H22" s="88"/>
      <c r="I22" s="88"/>
    </row>
    <row r="23" spans="1:9" x14ac:dyDescent="0.25">
      <c r="A23" s="88"/>
      <c r="B23" s="88"/>
      <c r="C23" s="88"/>
      <c r="D23" s="88"/>
      <c r="E23" s="88"/>
      <c r="F23" s="88"/>
      <c r="G23" s="88"/>
      <c r="H23" s="88"/>
      <c r="I23" s="88"/>
    </row>
    <row r="24" spans="1:9" x14ac:dyDescent="0.25">
      <c r="A24" s="88"/>
      <c r="B24" s="88"/>
      <c r="C24" s="88"/>
      <c r="D24" s="88"/>
      <c r="E24" s="88"/>
      <c r="F24" s="88"/>
      <c r="G24" s="88"/>
      <c r="H24" s="88"/>
      <c r="I24" s="88"/>
    </row>
    <row r="25" spans="1:9" x14ac:dyDescent="0.25">
      <c r="A25" s="88"/>
      <c r="B25" s="88"/>
      <c r="C25" s="88"/>
      <c r="D25" s="88"/>
      <c r="E25" s="88"/>
      <c r="F25" s="88"/>
      <c r="G25" s="88"/>
      <c r="H25" s="88"/>
      <c r="I25" s="88"/>
    </row>
    <row r="26" spans="1:9" x14ac:dyDescent="0.25">
      <c r="A26" s="88"/>
      <c r="B26" s="88"/>
      <c r="C26" s="88"/>
      <c r="D26" s="88"/>
      <c r="E26" s="88"/>
      <c r="F26" s="88"/>
      <c r="G26" s="88"/>
      <c r="H26" s="88"/>
      <c r="I26" s="88"/>
    </row>
    <row r="27" spans="1:9" x14ac:dyDescent="0.25">
      <c r="A27" s="88"/>
      <c r="B27" s="88"/>
      <c r="C27" s="88"/>
      <c r="D27" s="88"/>
      <c r="E27" s="88"/>
      <c r="F27" s="88"/>
      <c r="G27" s="88"/>
      <c r="H27" s="88"/>
      <c r="I27" s="88"/>
    </row>
    <row r="28" spans="1:9" x14ac:dyDescent="0.25">
      <c r="A28" s="88"/>
      <c r="B28" s="88"/>
      <c r="C28" s="88"/>
      <c r="D28" s="88"/>
      <c r="E28" s="88"/>
      <c r="F28" s="88"/>
      <c r="G28" s="88"/>
      <c r="H28" s="88"/>
      <c r="I28" s="88"/>
    </row>
    <row r="29" spans="1:9" x14ac:dyDescent="0.25">
      <c r="A29" s="88"/>
      <c r="B29" s="88"/>
      <c r="C29" s="88"/>
      <c r="D29" s="88"/>
      <c r="E29" s="88"/>
      <c r="F29" s="88"/>
      <c r="G29" s="88"/>
      <c r="H29" s="88"/>
      <c r="I29" s="88"/>
    </row>
    <row r="30" spans="1:9" x14ac:dyDescent="0.25">
      <c r="A30" s="88"/>
      <c r="B30" s="88"/>
      <c r="C30" s="88"/>
      <c r="D30" s="88"/>
      <c r="E30" s="88"/>
      <c r="F30" s="88"/>
      <c r="G30" s="88"/>
      <c r="H30" s="88"/>
      <c r="I30" s="88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47"/>
  <sheetViews>
    <sheetView showGridLines="0" view="pageBreakPreview" zoomScale="88" zoomScaleNormal="85" zoomScaleSheetLayoutView="88" workbookViewId="0">
      <selection activeCell="Q2" sqref="Q2"/>
    </sheetView>
  </sheetViews>
  <sheetFormatPr defaultRowHeight="15" x14ac:dyDescent="0.25"/>
  <cols>
    <col min="1" max="1" width="13.5703125" style="42" bestFit="1" customWidth="1"/>
    <col min="2" max="2" width="9.140625" style="43"/>
    <col min="3" max="3" width="9.42578125" style="43" bestFit="1" customWidth="1"/>
    <col min="4" max="4" width="17.85546875" style="43" bestFit="1" customWidth="1"/>
    <col min="5" max="5" width="18" style="43" bestFit="1" customWidth="1"/>
    <col min="6" max="6" width="11.42578125" style="43" bestFit="1" customWidth="1"/>
    <col min="7" max="7" width="11.5703125" style="43" bestFit="1" customWidth="1"/>
    <col min="8" max="8" width="3" style="49" bestFit="1" customWidth="1"/>
    <col min="9" max="9" width="6.140625" style="49" customWidth="1"/>
    <col min="10" max="10" width="17.42578125" style="49" customWidth="1"/>
    <col min="11" max="11" width="4.7109375" style="49" customWidth="1"/>
    <col min="12" max="12" width="3.140625" style="49" customWidth="1"/>
    <col min="13" max="13" width="8.42578125" style="49" customWidth="1"/>
    <col min="14" max="14" width="9.140625" style="49" customWidth="1"/>
    <col min="15" max="15" width="5.7109375" style="85" customWidth="1"/>
    <col min="16" max="16" width="5.7109375" style="43" customWidth="1"/>
    <col min="17" max="17" width="9.140625" style="49"/>
    <col min="18" max="18" width="16.85546875" style="49" bestFit="1" customWidth="1"/>
    <col min="19" max="16384" width="9.140625" style="49"/>
  </cols>
  <sheetData>
    <row r="1" spans="1:18" ht="11.1" customHeight="1" x14ac:dyDescent="0.25">
      <c r="G1" s="42"/>
      <c r="H1" s="109"/>
      <c r="I1" s="109"/>
      <c r="J1" s="109"/>
      <c r="K1" s="44"/>
      <c r="L1" s="103" t="s">
        <v>41</v>
      </c>
      <c r="M1" s="103"/>
      <c r="N1" s="45"/>
      <c r="O1" s="46">
        <v>13</v>
      </c>
      <c r="P1" s="46">
        <v>5</v>
      </c>
      <c r="Q1" s="47"/>
      <c r="R1" s="48"/>
    </row>
    <row r="2" spans="1:18" ht="11.1" customHeight="1" x14ac:dyDescent="0.25">
      <c r="H2" s="109"/>
      <c r="I2" s="109"/>
      <c r="J2" s="109"/>
      <c r="K2" s="44"/>
      <c r="L2" s="50"/>
      <c r="M2" s="50"/>
      <c r="N2" s="86">
        <f ca="1">NOW()</f>
        <v>44259.851760995371</v>
      </c>
      <c r="O2" s="46"/>
      <c r="P2" s="51"/>
      <c r="Q2" s="52"/>
      <c r="R2" s="53"/>
    </row>
    <row r="3" spans="1:18" ht="9.9499999999999993" customHeight="1" x14ac:dyDescent="0.25">
      <c r="H3" s="109"/>
      <c r="I3" s="109"/>
      <c r="J3" s="109"/>
      <c r="K3" s="44"/>
      <c r="L3" s="54"/>
      <c r="M3" s="54"/>
      <c r="N3" s="54"/>
      <c r="O3" s="46"/>
      <c r="P3" s="51"/>
      <c r="Q3" s="52"/>
      <c r="R3" s="53"/>
    </row>
    <row r="4" spans="1:18" ht="11.1" customHeight="1" x14ac:dyDescent="0.25">
      <c r="H4" s="109"/>
      <c r="I4" s="109"/>
      <c r="J4" s="109"/>
      <c r="K4" s="44"/>
      <c r="L4" s="103"/>
      <c r="M4" s="103"/>
      <c r="N4" s="55"/>
      <c r="O4" s="46"/>
      <c r="P4" s="51"/>
      <c r="Q4" s="52"/>
      <c r="R4" s="53"/>
    </row>
    <row r="5" spans="1:18" ht="11.1" customHeight="1" x14ac:dyDescent="0.25">
      <c r="H5" s="109"/>
      <c r="I5" s="109"/>
      <c r="J5" s="109"/>
      <c r="K5" s="56"/>
      <c r="L5" s="103" t="s">
        <v>8</v>
      </c>
      <c r="M5" s="103"/>
      <c r="N5" s="55"/>
      <c r="O5" s="46"/>
      <c r="P5" s="51"/>
      <c r="Q5" s="52"/>
      <c r="R5" s="53"/>
    </row>
    <row r="6" spans="1:18" ht="9.9499999999999993" customHeight="1" x14ac:dyDescent="0.25">
      <c r="H6" s="109"/>
      <c r="I6" s="109"/>
      <c r="J6" s="109"/>
      <c r="K6" s="56"/>
      <c r="L6" s="57"/>
      <c r="M6" s="57"/>
      <c r="N6" s="56"/>
      <c r="O6" s="46"/>
      <c r="P6" s="51"/>
      <c r="Q6" s="52"/>
      <c r="R6" s="53"/>
    </row>
    <row r="7" spans="1:18" ht="3" customHeight="1" x14ac:dyDescent="0.25">
      <c r="H7" s="108"/>
      <c r="I7" s="108"/>
      <c r="J7" s="108"/>
      <c r="K7" s="108"/>
      <c r="L7" s="108"/>
      <c r="M7" s="108"/>
      <c r="N7" s="108"/>
      <c r="O7" s="46"/>
      <c r="P7" s="51"/>
      <c r="Q7" s="52"/>
      <c r="R7" s="53"/>
    </row>
    <row r="8" spans="1:18" ht="9.9499999999999993" customHeight="1" x14ac:dyDescent="0.25">
      <c r="H8" s="56"/>
      <c r="I8" s="56"/>
      <c r="J8" s="58"/>
      <c r="K8" s="55"/>
      <c r="L8" s="55"/>
      <c r="M8" s="55"/>
      <c r="N8" s="56"/>
      <c r="O8" s="46"/>
      <c r="P8" s="51"/>
      <c r="Q8" s="52"/>
      <c r="R8" s="53"/>
    </row>
    <row r="9" spans="1:18" ht="15" customHeight="1" x14ac:dyDescent="0.25">
      <c r="H9" s="59"/>
      <c r="I9" s="59"/>
      <c r="J9" s="60"/>
      <c r="K9" s="61" t="s">
        <v>5</v>
      </c>
      <c r="L9" s="113"/>
      <c r="M9" s="113"/>
      <c r="N9" s="113"/>
      <c r="O9" s="46"/>
      <c r="P9" s="51"/>
      <c r="Q9" s="52"/>
      <c r="R9" s="53"/>
    </row>
    <row r="10" spans="1:18" ht="12" customHeight="1" x14ac:dyDescent="0.25">
      <c r="H10" s="59"/>
      <c r="I10" s="59"/>
      <c r="J10" s="60"/>
      <c r="K10" s="61" t="s">
        <v>7</v>
      </c>
      <c r="L10" s="61"/>
      <c r="M10" s="114"/>
      <c r="N10" s="114"/>
      <c r="O10" s="46"/>
      <c r="P10" s="51"/>
      <c r="Q10" s="52"/>
      <c r="R10" s="53"/>
    </row>
    <row r="11" spans="1:18" ht="12" customHeight="1" x14ac:dyDescent="0.25">
      <c r="H11" s="106" t="s">
        <v>15</v>
      </c>
      <c r="I11" s="106"/>
      <c r="J11" s="107"/>
      <c r="K11" s="61" t="s">
        <v>14</v>
      </c>
      <c r="L11" s="61"/>
      <c r="M11" s="117"/>
      <c r="N11" s="118"/>
      <c r="O11" s="46"/>
      <c r="P11" s="51"/>
      <c r="Q11" s="52"/>
      <c r="R11" s="53"/>
    </row>
    <row r="12" spans="1:18" ht="12" customHeight="1" x14ac:dyDescent="0.25">
      <c r="F12" s="42"/>
      <c r="H12" s="104" t="s">
        <v>121</v>
      </c>
      <c r="I12" s="104"/>
      <c r="J12" s="105"/>
      <c r="K12" s="61" t="s">
        <v>4</v>
      </c>
      <c r="L12" s="61"/>
      <c r="M12" s="62"/>
      <c r="N12" s="102"/>
      <c r="O12" s="46"/>
      <c r="P12" s="51"/>
      <c r="Q12" s="52"/>
      <c r="R12" s="53"/>
    </row>
    <row r="13" spans="1:18" ht="12" customHeight="1" x14ac:dyDescent="0.25">
      <c r="F13" s="42"/>
      <c r="H13" s="104"/>
      <c r="I13" s="104"/>
      <c r="J13" s="105"/>
      <c r="K13" s="115" t="s">
        <v>13</v>
      </c>
      <c r="L13" s="116"/>
      <c r="M13" s="62"/>
      <c r="N13" s="102"/>
      <c r="O13" s="46"/>
      <c r="P13" s="51"/>
      <c r="Q13" s="52"/>
      <c r="R13" s="53"/>
    </row>
    <row r="14" spans="1:18" ht="9.9499999999999993" customHeight="1" x14ac:dyDescent="0.25">
      <c r="H14" s="63"/>
      <c r="I14" s="63"/>
      <c r="J14" s="63"/>
      <c r="K14" s="63"/>
      <c r="L14" s="63"/>
      <c r="M14" s="63"/>
      <c r="N14" s="63"/>
      <c r="O14" s="46"/>
      <c r="P14" s="51"/>
      <c r="Q14" s="52"/>
      <c r="R14" s="53"/>
    </row>
    <row r="15" spans="1:18" ht="15" customHeight="1" x14ac:dyDescent="0.25">
      <c r="A15" s="64" t="s">
        <v>100</v>
      </c>
      <c r="B15" s="65" t="s">
        <v>94</v>
      </c>
      <c r="C15" s="65" t="s">
        <v>95</v>
      </c>
      <c r="D15" s="65" t="s">
        <v>96</v>
      </c>
      <c r="E15" s="65" t="s">
        <v>97</v>
      </c>
      <c r="F15" s="66" t="s">
        <v>4</v>
      </c>
      <c r="G15" s="66" t="s">
        <v>13</v>
      </c>
      <c r="H15" s="67" t="s">
        <v>0</v>
      </c>
      <c r="I15" s="136" t="s">
        <v>1</v>
      </c>
      <c r="J15" s="137"/>
      <c r="K15" s="140" t="s">
        <v>6</v>
      </c>
      <c r="L15" s="137"/>
      <c r="M15" s="68" t="s">
        <v>2</v>
      </c>
      <c r="N15" s="67" t="s">
        <v>3</v>
      </c>
      <c r="O15" s="69" t="s">
        <v>99</v>
      </c>
      <c r="P15" s="51"/>
      <c r="Q15" s="52"/>
      <c r="R15" s="53"/>
    </row>
    <row r="16" spans="1:18" ht="15" customHeight="1" x14ac:dyDescent="0.25">
      <c r="F16" s="42"/>
      <c r="G16" s="42"/>
      <c r="H16" s="87" t="str">
        <f>IF(I16="","",1)</f>
        <v/>
      </c>
      <c r="I16" s="134"/>
      <c r="J16" s="135"/>
      <c r="K16" s="101"/>
      <c r="L16" s="71"/>
      <c r="M16" s="72"/>
      <c r="N16" s="73"/>
      <c r="O16" s="46"/>
      <c r="P16" s="51"/>
      <c r="Q16" s="52"/>
      <c r="R16" s="53"/>
    </row>
    <row r="17" spans="6:18" ht="15" customHeight="1" x14ac:dyDescent="0.25">
      <c r="F17" s="42"/>
      <c r="G17" s="42"/>
      <c r="H17" s="87" t="str">
        <f>IF(I17="","",H16+1)</f>
        <v/>
      </c>
      <c r="I17" s="134"/>
      <c r="J17" s="135"/>
      <c r="K17" s="100"/>
      <c r="L17" s="74"/>
      <c r="M17" s="75"/>
      <c r="N17" s="76"/>
      <c r="O17" s="46"/>
      <c r="P17" s="51"/>
      <c r="Q17" s="52"/>
      <c r="R17" s="53"/>
    </row>
    <row r="18" spans="6:18" ht="15" customHeight="1" x14ac:dyDescent="0.25">
      <c r="F18" s="42"/>
      <c r="G18" s="42"/>
      <c r="H18" s="87" t="str">
        <f t="shared" ref="H18:H23" si="0">IF(I18="","",H17+1)</f>
        <v/>
      </c>
      <c r="I18" s="138"/>
      <c r="J18" s="139"/>
      <c r="K18" s="101"/>
      <c r="L18" s="71"/>
      <c r="M18" s="72"/>
      <c r="N18" s="73"/>
      <c r="O18" s="46"/>
      <c r="P18" s="51"/>
      <c r="Q18" s="52"/>
      <c r="R18" s="53"/>
    </row>
    <row r="19" spans="6:18" ht="15" customHeight="1" x14ac:dyDescent="0.25">
      <c r="F19" s="42"/>
      <c r="G19" s="42"/>
      <c r="H19" s="87" t="str">
        <f t="shared" si="0"/>
        <v/>
      </c>
      <c r="I19" s="138"/>
      <c r="J19" s="139"/>
      <c r="K19" s="70"/>
      <c r="L19" s="71"/>
      <c r="M19" s="72"/>
      <c r="N19" s="73"/>
      <c r="O19" s="77"/>
      <c r="P19" s="78"/>
    </row>
    <row r="20" spans="6:18" ht="15" customHeight="1" x14ac:dyDescent="0.25">
      <c r="H20" s="87" t="str">
        <f t="shared" si="0"/>
        <v/>
      </c>
      <c r="I20" s="138"/>
      <c r="J20" s="139"/>
      <c r="K20" s="70"/>
      <c r="L20" s="71"/>
      <c r="M20" s="72"/>
      <c r="N20" s="73"/>
      <c r="O20" s="77"/>
      <c r="P20" s="78"/>
    </row>
    <row r="21" spans="6:18" ht="15" customHeight="1" x14ac:dyDescent="0.25">
      <c r="H21" s="87" t="str">
        <f t="shared" si="0"/>
        <v/>
      </c>
      <c r="I21" s="138"/>
      <c r="J21" s="139"/>
      <c r="K21" s="70"/>
      <c r="L21" s="71"/>
      <c r="M21" s="72"/>
      <c r="N21" s="73"/>
      <c r="O21" s="77"/>
      <c r="P21" s="78"/>
    </row>
    <row r="22" spans="6:18" ht="15" customHeight="1" x14ac:dyDescent="0.25">
      <c r="H22" s="87" t="str">
        <f t="shared" si="0"/>
        <v/>
      </c>
      <c r="I22" s="138"/>
      <c r="J22" s="139"/>
      <c r="K22" s="70"/>
      <c r="L22" s="71"/>
      <c r="M22" s="72"/>
      <c r="N22" s="73"/>
      <c r="O22" s="77"/>
      <c r="P22" s="78"/>
    </row>
    <row r="23" spans="6:18" ht="15" customHeight="1" x14ac:dyDescent="0.25">
      <c r="H23" s="87" t="str">
        <f t="shared" si="0"/>
        <v/>
      </c>
      <c r="I23" s="138"/>
      <c r="J23" s="139"/>
      <c r="K23" s="70"/>
      <c r="L23" s="71"/>
      <c r="M23" s="72"/>
      <c r="N23" s="73"/>
      <c r="O23" s="77"/>
      <c r="P23" s="78"/>
    </row>
    <row r="24" spans="6:18" x14ac:dyDescent="0.25">
      <c r="H24" s="128" t="s">
        <v>9</v>
      </c>
      <c r="I24" s="129"/>
      <c r="J24" s="129"/>
      <c r="K24" s="129"/>
      <c r="L24" s="130"/>
      <c r="M24" s="132">
        <f>SUM(N16:N23)</f>
        <v>0</v>
      </c>
      <c r="N24" s="133"/>
      <c r="O24" s="77"/>
      <c r="P24" s="78"/>
    </row>
    <row r="25" spans="6:18" ht="9.9499999999999993" customHeight="1" x14ac:dyDescent="0.25">
      <c r="H25" s="131" t="e" cm="1">
        <f t="array" aca="1" ref="H25" ca="1">PROPER([1]!terbilang(M24)) &amp; " Rupiah"</f>
        <v>#NAME?</v>
      </c>
      <c r="I25" s="131"/>
      <c r="J25" s="131"/>
      <c r="K25" s="131"/>
      <c r="L25" s="131"/>
      <c r="M25" s="131"/>
      <c r="N25" s="131"/>
      <c r="O25" s="77"/>
      <c r="P25" s="78"/>
    </row>
    <row r="26" spans="6:18" ht="9.9499999999999993" customHeight="1" x14ac:dyDescent="0.25">
      <c r="H26" s="79"/>
      <c r="I26" s="79"/>
      <c r="J26" s="79"/>
      <c r="K26" s="80"/>
      <c r="L26" s="80"/>
      <c r="M26" s="81"/>
      <c r="N26" s="81"/>
      <c r="O26" s="77"/>
      <c r="P26" s="78"/>
    </row>
    <row r="27" spans="6:18" ht="12" customHeight="1" thickBot="1" x14ac:dyDescent="0.3">
      <c r="H27" s="82" t="s">
        <v>12</v>
      </c>
      <c r="I27" s="82"/>
      <c r="J27" s="82"/>
      <c r="K27" s="82"/>
      <c r="L27" s="80"/>
      <c r="M27" s="81"/>
      <c r="N27" s="81"/>
      <c r="O27" s="77"/>
      <c r="P27" s="78"/>
    </row>
    <row r="28" spans="6:18" ht="9.9499999999999993" customHeight="1" x14ac:dyDescent="0.25">
      <c r="H28" s="119"/>
      <c r="I28" s="120"/>
      <c r="J28" s="120"/>
      <c r="K28" s="121"/>
      <c r="L28" s="83"/>
      <c r="M28" s="111" t="s">
        <v>10</v>
      </c>
      <c r="N28" s="111"/>
      <c r="O28" s="77"/>
      <c r="P28" s="78"/>
    </row>
    <row r="29" spans="6:18" ht="9.9499999999999993" customHeight="1" x14ac:dyDescent="0.25">
      <c r="H29" s="122"/>
      <c r="I29" s="123"/>
      <c r="J29" s="123"/>
      <c r="K29" s="124"/>
      <c r="L29" s="83"/>
      <c r="M29" s="79"/>
      <c r="N29" s="79"/>
      <c r="O29" s="77"/>
      <c r="P29" s="78"/>
    </row>
    <row r="30" spans="6:18" ht="9.9499999999999993" customHeight="1" x14ac:dyDescent="0.25">
      <c r="H30" s="122"/>
      <c r="I30" s="123"/>
      <c r="J30" s="123"/>
      <c r="K30" s="124"/>
      <c r="L30" s="83"/>
      <c r="M30" s="79"/>
      <c r="N30" s="79"/>
      <c r="O30" s="77"/>
      <c r="P30" s="78"/>
    </row>
    <row r="31" spans="6:18" ht="9.9499999999999993" customHeight="1" x14ac:dyDescent="0.25">
      <c r="H31" s="122"/>
      <c r="I31" s="123"/>
      <c r="J31" s="123"/>
      <c r="K31" s="124"/>
      <c r="L31" s="83"/>
      <c r="M31" s="79"/>
      <c r="N31" s="79"/>
      <c r="O31" s="77"/>
      <c r="P31" s="78"/>
    </row>
    <row r="32" spans="6:18" ht="9.9499999999999993" customHeight="1" x14ac:dyDescent="0.25">
      <c r="H32" s="122"/>
      <c r="I32" s="123"/>
      <c r="J32" s="123"/>
      <c r="K32" s="124"/>
      <c r="L32" s="83"/>
      <c r="O32" s="77"/>
      <c r="P32" s="78"/>
    </row>
    <row r="33" spans="8:16" ht="9.9499999999999993" customHeight="1" x14ac:dyDescent="0.25">
      <c r="H33" s="122"/>
      <c r="I33" s="123"/>
      <c r="J33" s="123"/>
      <c r="K33" s="124"/>
      <c r="L33" s="84"/>
      <c r="M33" s="84"/>
      <c r="N33" s="84"/>
      <c r="O33" s="77"/>
      <c r="P33" s="78"/>
    </row>
    <row r="34" spans="8:16" ht="9.9499999999999993" customHeight="1" thickBot="1" x14ac:dyDescent="0.3">
      <c r="H34" s="125"/>
      <c r="I34" s="126"/>
      <c r="J34" s="126"/>
      <c r="K34" s="127"/>
      <c r="M34" s="110" t="s">
        <v>11</v>
      </c>
      <c r="N34" s="110"/>
      <c r="O34" s="77"/>
      <c r="P34" s="78"/>
    </row>
    <row r="35" spans="8:16" ht="9.9499999999999993" customHeight="1" x14ac:dyDescent="0.25">
      <c r="H35" s="84"/>
      <c r="I35" s="84"/>
      <c r="J35" s="84"/>
      <c r="K35" s="84"/>
      <c r="L35" s="84"/>
      <c r="M35" s="84"/>
      <c r="N35" s="84"/>
      <c r="O35" s="77"/>
      <c r="P35" s="78"/>
    </row>
    <row r="36" spans="8:16" ht="9.9499999999999993" customHeight="1" x14ac:dyDescent="0.25">
      <c r="H36" s="112" t="s">
        <v>16</v>
      </c>
      <c r="I36" s="112"/>
      <c r="J36" s="112"/>
      <c r="K36" s="112"/>
      <c r="L36" s="112"/>
      <c r="M36" s="112"/>
      <c r="N36" s="112"/>
      <c r="O36" s="77"/>
      <c r="P36" s="78"/>
    </row>
    <row r="37" spans="8:16" ht="9.9499999999999993" customHeight="1" x14ac:dyDescent="0.25">
      <c r="H37" s="84"/>
      <c r="I37" s="84"/>
      <c r="J37" s="84"/>
      <c r="K37" s="84"/>
      <c r="L37" s="84"/>
      <c r="M37" s="84"/>
      <c r="N37" s="84"/>
      <c r="O37" s="77"/>
      <c r="P37" s="78"/>
    </row>
    <row r="38" spans="8:16" ht="9.9499999999999993" customHeight="1" x14ac:dyDescent="0.25">
      <c r="H38" s="84"/>
      <c r="I38" s="84"/>
      <c r="J38" s="84"/>
      <c r="K38" s="84"/>
      <c r="L38" s="84"/>
      <c r="M38" s="84"/>
      <c r="N38" s="84"/>
      <c r="O38" s="77"/>
      <c r="P38" s="78"/>
    </row>
    <row r="39" spans="8:16" ht="9.9499999999999993" customHeight="1" x14ac:dyDescent="0.25"/>
    <row r="40" spans="8:16" ht="9.9499999999999993" customHeight="1" x14ac:dyDescent="0.25"/>
    <row r="41" spans="8:16" ht="9.9499999999999993" customHeight="1" x14ac:dyDescent="0.25"/>
    <row r="42" spans="8:16" ht="9.9499999999999993" customHeight="1" x14ac:dyDescent="0.25"/>
    <row r="43" spans="8:16" ht="9.9499999999999993" customHeight="1" x14ac:dyDescent="0.25"/>
    <row r="44" spans="8:16" ht="9.9499999999999993" customHeight="1" x14ac:dyDescent="0.25"/>
    <row r="45" spans="8:16" ht="9.9499999999999993" customHeight="1" x14ac:dyDescent="0.25"/>
    <row r="46" spans="8:16" ht="9.9499999999999993" customHeight="1" x14ac:dyDescent="0.25"/>
    <row r="47" spans="8:16" ht="9.9499999999999993" customHeight="1" x14ac:dyDescent="0.25"/>
  </sheetData>
  <mergeCells count="28">
    <mergeCell ref="I22:J22"/>
    <mergeCell ref="K15:L15"/>
    <mergeCell ref="I17:J17"/>
    <mergeCell ref="I18:J18"/>
    <mergeCell ref="I19:J19"/>
    <mergeCell ref="I20:J20"/>
    <mergeCell ref="I21:J21"/>
    <mergeCell ref="L1:M1"/>
    <mergeCell ref="H1:J6"/>
    <mergeCell ref="M34:N34"/>
    <mergeCell ref="M28:N28"/>
    <mergeCell ref="H36:N36"/>
    <mergeCell ref="L9:N9"/>
    <mergeCell ref="M10:N10"/>
    <mergeCell ref="K13:L13"/>
    <mergeCell ref="M11:N11"/>
    <mergeCell ref="H28:K34"/>
    <mergeCell ref="H24:L24"/>
    <mergeCell ref="H25:N25"/>
    <mergeCell ref="M24:N24"/>
    <mergeCell ref="I16:J16"/>
    <mergeCell ref="I15:J15"/>
    <mergeCell ref="I23:J23"/>
    <mergeCell ref="L4:M4"/>
    <mergeCell ref="L5:M5"/>
    <mergeCell ref="H12:J13"/>
    <mergeCell ref="H11:J11"/>
    <mergeCell ref="H7:N7"/>
  </mergeCells>
  <pageMargins left="0.11811023622047245" right="0.11811023622047245" top="0.35433070866141736" bottom="0.15748031496062992" header="0.31496062992125984" footer="0.11811023622047245"/>
  <pageSetup paperSize="10001" scale="95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T28"/>
  <sheetViews>
    <sheetView showGridLines="0" workbookViewId="0">
      <selection activeCell="P7" sqref="P7"/>
    </sheetView>
  </sheetViews>
  <sheetFormatPr defaultRowHeight="15" x14ac:dyDescent="0.25"/>
  <cols>
    <col min="1" max="1" width="9.140625" style="4"/>
    <col min="2" max="2" width="24" bestFit="1" customWidth="1"/>
    <col min="3" max="3" width="7" bestFit="1" customWidth="1"/>
    <col min="4" max="4" width="22.5703125" style="3" customWidth="1"/>
    <col min="5" max="5" width="10.42578125" customWidth="1"/>
    <col min="6" max="10" width="9.140625" hidden="1" customWidth="1"/>
    <col min="11" max="11" width="10.28515625" hidden="1" customWidth="1"/>
    <col min="12" max="12" width="9.140625" customWidth="1"/>
    <col min="13" max="13" width="28.7109375" customWidth="1"/>
    <col min="14" max="14" width="9.140625" customWidth="1"/>
    <col min="15" max="15" width="13.5703125" customWidth="1"/>
    <col min="16" max="16" width="9.140625" customWidth="1"/>
    <col min="17" max="17" width="10.7109375" style="15" customWidth="1"/>
    <col min="18" max="18" width="9.140625" customWidth="1"/>
    <col min="19" max="19" width="11.140625" customWidth="1"/>
    <col min="20" max="20" width="13.5703125" bestFit="1" customWidth="1"/>
  </cols>
  <sheetData>
    <row r="1" spans="1:20" x14ac:dyDescent="0.25">
      <c r="A1" s="1" t="s">
        <v>42</v>
      </c>
      <c r="B1" s="1" t="s">
        <v>17</v>
      </c>
      <c r="C1" s="1" t="s">
        <v>18</v>
      </c>
      <c r="D1" s="2" t="s">
        <v>19</v>
      </c>
      <c r="E1" s="27">
        <v>23</v>
      </c>
      <c r="F1" s="1" t="s">
        <v>17</v>
      </c>
      <c r="H1" s="1" t="s">
        <v>42</v>
      </c>
      <c r="I1" s="1" t="s">
        <v>17</v>
      </c>
      <c r="J1" s="1" t="s">
        <v>18</v>
      </c>
      <c r="K1" s="2" t="s">
        <v>19</v>
      </c>
      <c r="M1" s="1" t="s">
        <v>70</v>
      </c>
      <c r="O1" s="31" t="s">
        <v>91</v>
      </c>
      <c r="P1" s="1" t="s">
        <v>0</v>
      </c>
      <c r="Q1" s="90" t="s">
        <v>100</v>
      </c>
      <c r="R1" s="1" t="s">
        <v>94</v>
      </c>
      <c r="S1" s="1" t="s">
        <v>101</v>
      </c>
      <c r="T1" s="1" t="s">
        <v>114</v>
      </c>
    </row>
    <row r="2" spans="1:20" x14ac:dyDescent="0.25">
      <c r="A2" s="4" t="s">
        <v>43</v>
      </c>
      <c r="B2" t="s">
        <v>20</v>
      </c>
      <c r="C2" t="s">
        <v>28</v>
      </c>
      <c r="D2" s="3">
        <v>5000</v>
      </c>
      <c r="F2" t="s">
        <v>69</v>
      </c>
      <c r="H2" s="4" t="s">
        <v>43</v>
      </c>
      <c r="I2" t="s">
        <v>20</v>
      </c>
      <c r="J2" t="s">
        <v>28</v>
      </c>
      <c r="K2" s="3">
        <v>5000</v>
      </c>
      <c r="M2" t="s">
        <v>71</v>
      </c>
      <c r="O2" t="s">
        <v>92</v>
      </c>
      <c r="P2">
        <v>2</v>
      </c>
      <c r="Q2" s="15">
        <v>43862</v>
      </c>
      <c r="R2" t="s">
        <v>106</v>
      </c>
      <c r="T2" s="15"/>
    </row>
    <row r="3" spans="1:20" x14ac:dyDescent="0.25">
      <c r="A3" s="4" t="s">
        <v>44</v>
      </c>
      <c r="B3" t="s">
        <v>21</v>
      </c>
      <c r="C3" t="s">
        <v>28</v>
      </c>
      <c r="D3" s="3">
        <v>5000</v>
      </c>
      <c r="H3" s="4" t="s">
        <v>55</v>
      </c>
      <c r="I3" t="s">
        <v>32</v>
      </c>
      <c r="J3" t="s">
        <v>37</v>
      </c>
      <c r="K3" s="3">
        <v>10000</v>
      </c>
      <c r="M3" t="s">
        <v>77</v>
      </c>
      <c r="O3" t="s">
        <v>111</v>
      </c>
      <c r="P3">
        <v>3</v>
      </c>
      <c r="Q3" s="15">
        <v>43862</v>
      </c>
      <c r="R3" t="s">
        <v>128</v>
      </c>
      <c r="T3" s="15"/>
    </row>
    <row r="4" spans="1:20" x14ac:dyDescent="0.25">
      <c r="A4" s="4" t="s">
        <v>45</v>
      </c>
      <c r="B4" t="s">
        <v>22</v>
      </c>
      <c r="C4" t="s">
        <v>28</v>
      </c>
      <c r="D4" s="3">
        <v>7500</v>
      </c>
      <c r="H4" s="4" t="s">
        <v>58</v>
      </c>
      <c r="I4" t="s">
        <v>35</v>
      </c>
      <c r="J4" t="s">
        <v>39</v>
      </c>
      <c r="K4" s="3">
        <v>10000</v>
      </c>
      <c r="M4" t="s">
        <v>75</v>
      </c>
      <c r="O4" t="s">
        <v>93</v>
      </c>
      <c r="P4">
        <v>4</v>
      </c>
      <c r="Q4" s="15">
        <v>43862</v>
      </c>
      <c r="R4" t="s">
        <v>130</v>
      </c>
      <c r="T4" s="15"/>
    </row>
    <row r="5" spans="1:20" x14ac:dyDescent="0.25">
      <c r="A5" s="4" t="s">
        <v>46</v>
      </c>
      <c r="B5" t="s">
        <v>25</v>
      </c>
      <c r="C5" t="s">
        <v>28</v>
      </c>
      <c r="D5" s="3">
        <v>20000</v>
      </c>
      <c r="H5" s="4" t="s">
        <v>59</v>
      </c>
      <c r="I5" t="s">
        <v>36</v>
      </c>
      <c r="J5" t="s">
        <v>39</v>
      </c>
      <c r="K5" s="3">
        <v>15000</v>
      </c>
      <c r="M5" t="s">
        <v>79</v>
      </c>
      <c r="P5">
        <v>5</v>
      </c>
      <c r="Q5" s="15">
        <v>43986</v>
      </c>
      <c r="R5" t="s">
        <v>136</v>
      </c>
    </row>
    <row r="6" spans="1:20" x14ac:dyDescent="0.25">
      <c r="A6" s="4" t="s">
        <v>47</v>
      </c>
      <c r="B6" t="s">
        <v>23</v>
      </c>
      <c r="C6" t="s">
        <v>28</v>
      </c>
      <c r="D6" s="3">
        <v>15000</v>
      </c>
      <c r="H6" s="4"/>
      <c r="K6" s="3"/>
      <c r="M6" t="s">
        <v>82</v>
      </c>
      <c r="T6" s="15"/>
    </row>
    <row r="7" spans="1:20" x14ac:dyDescent="0.25">
      <c r="A7" s="4" t="s">
        <v>48</v>
      </c>
      <c r="B7" t="s">
        <v>24</v>
      </c>
      <c r="C7" t="s">
        <v>28</v>
      </c>
      <c r="D7" s="3">
        <v>10000</v>
      </c>
      <c r="H7" s="4"/>
      <c r="K7" s="3"/>
      <c r="M7" t="s">
        <v>73</v>
      </c>
      <c r="T7" s="15"/>
    </row>
    <row r="8" spans="1:20" x14ac:dyDescent="0.25">
      <c r="A8" s="4" t="s">
        <v>49</v>
      </c>
      <c r="B8" t="s">
        <v>26</v>
      </c>
      <c r="C8" t="s">
        <v>28</v>
      </c>
      <c r="D8" s="3">
        <v>10000</v>
      </c>
      <c r="H8" s="4"/>
      <c r="K8" s="3"/>
      <c r="M8" t="s">
        <v>105</v>
      </c>
      <c r="T8" s="15"/>
    </row>
    <row r="9" spans="1:20" x14ac:dyDescent="0.25">
      <c r="A9" s="4" t="s">
        <v>50</v>
      </c>
      <c r="B9" t="s">
        <v>40</v>
      </c>
      <c r="C9" t="s">
        <v>28</v>
      </c>
      <c r="D9" s="3">
        <v>15000</v>
      </c>
      <c r="H9" s="4"/>
      <c r="K9" s="3"/>
      <c r="M9" t="s">
        <v>74</v>
      </c>
      <c r="T9" s="15"/>
    </row>
    <row r="10" spans="1:20" x14ac:dyDescent="0.25">
      <c r="A10" s="4" t="s">
        <v>51</v>
      </c>
      <c r="B10" t="s">
        <v>27</v>
      </c>
      <c r="C10" t="s">
        <v>28</v>
      </c>
      <c r="D10" s="3">
        <v>25000</v>
      </c>
      <c r="H10" s="4"/>
      <c r="K10" s="3"/>
      <c r="M10" t="s">
        <v>80</v>
      </c>
    </row>
    <row r="11" spans="1:20" x14ac:dyDescent="0.25">
      <c r="A11" s="4" t="s">
        <v>52</v>
      </c>
      <c r="B11" t="s">
        <v>29</v>
      </c>
      <c r="C11" t="s">
        <v>37</v>
      </c>
      <c r="D11" s="3">
        <v>12000</v>
      </c>
      <c r="H11" s="4"/>
      <c r="K11" s="3"/>
      <c r="M11" t="s">
        <v>76</v>
      </c>
      <c r="T11" s="15"/>
    </row>
    <row r="12" spans="1:20" x14ac:dyDescent="0.25">
      <c r="A12" s="4" t="s">
        <v>53</v>
      </c>
      <c r="B12" t="s">
        <v>30</v>
      </c>
      <c r="C12" t="s">
        <v>37</v>
      </c>
      <c r="D12" s="3">
        <v>20000</v>
      </c>
      <c r="H12" s="4"/>
      <c r="K12" s="3"/>
      <c r="M12" t="s">
        <v>81</v>
      </c>
      <c r="T12" s="15"/>
    </row>
    <row r="13" spans="1:20" x14ac:dyDescent="0.25">
      <c r="A13" s="4" t="s">
        <v>54</v>
      </c>
      <c r="B13" t="s">
        <v>31</v>
      </c>
      <c r="C13" t="s">
        <v>38</v>
      </c>
      <c r="D13" s="3">
        <v>20000</v>
      </c>
      <c r="H13" s="4"/>
      <c r="K13" s="3"/>
      <c r="M13" t="s">
        <v>72</v>
      </c>
      <c r="T13" s="15"/>
    </row>
    <row r="14" spans="1:20" x14ac:dyDescent="0.25">
      <c r="A14" s="4" t="s">
        <v>55</v>
      </c>
      <c r="B14" t="s">
        <v>32</v>
      </c>
      <c r="C14" t="s">
        <v>37</v>
      </c>
      <c r="D14" s="3">
        <v>10000</v>
      </c>
      <c r="H14" s="4"/>
      <c r="K14" s="3"/>
      <c r="M14" t="s">
        <v>78</v>
      </c>
      <c r="T14" s="15"/>
    </row>
    <row r="15" spans="1:20" x14ac:dyDescent="0.25">
      <c r="A15" s="4" t="s">
        <v>56</v>
      </c>
      <c r="B15" t="s">
        <v>33</v>
      </c>
      <c r="C15" t="s">
        <v>37</v>
      </c>
      <c r="D15" s="3">
        <v>10000</v>
      </c>
      <c r="H15" s="4"/>
      <c r="K15" s="3"/>
      <c r="M15" t="s">
        <v>115</v>
      </c>
    </row>
    <row r="16" spans="1:20" x14ac:dyDescent="0.25">
      <c r="A16" s="4" t="s">
        <v>57</v>
      </c>
      <c r="B16" t="s">
        <v>34</v>
      </c>
      <c r="C16" t="s">
        <v>37</v>
      </c>
      <c r="D16" s="3">
        <v>10000</v>
      </c>
      <c r="H16" s="4"/>
      <c r="K16" s="3"/>
      <c r="M16" t="s">
        <v>116</v>
      </c>
    </row>
    <row r="17" spans="1:20" x14ac:dyDescent="0.25">
      <c r="A17" s="4" t="s">
        <v>58</v>
      </c>
      <c r="B17" t="s">
        <v>35</v>
      </c>
      <c r="C17" t="s">
        <v>39</v>
      </c>
      <c r="D17" s="3">
        <v>10000</v>
      </c>
      <c r="H17" s="4"/>
      <c r="K17" s="3"/>
      <c r="M17" t="s">
        <v>117</v>
      </c>
    </row>
    <row r="18" spans="1:20" x14ac:dyDescent="0.25">
      <c r="A18" s="4" t="s">
        <v>59</v>
      </c>
      <c r="B18" t="s">
        <v>36</v>
      </c>
      <c r="C18" t="s">
        <v>39</v>
      </c>
      <c r="D18" s="3">
        <v>15000</v>
      </c>
      <c r="H18" s="4"/>
      <c r="K18" s="3"/>
      <c r="M18" t="s">
        <v>118</v>
      </c>
      <c r="T18" s="15"/>
    </row>
    <row r="19" spans="1:20" x14ac:dyDescent="0.25">
      <c r="A19" s="4" t="s">
        <v>83</v>
      </c>
      <c r="B19" t="s">
        <v>84</v>
      </c>
      <c r="C19" t="s">
        <v>28</v>
      </c>
      <c r="D19" s="3">
        <v>3000</v>
      </c>
      <c r="M19" t="s">
        <v>119</v>
      </c>
      <c r="T19" s="15"/>
    </row>
    <row r="20" spans="1:20" x14ac:dyDescent="0.25">
      <c r="A20" s="4" t="s">
        <v>85</v>
      </c>
      <c r="B20" t="s">
        <v>86</v>
      </c>
      <c r="C20" t="s">
        <v>28</v>
      </c>
      <c r="D20" s="3">
        <v>3000</v>
      </c>
      <c r="M20" t="s">
        <v>120</v>
      </c>
    </row>
    <row r="21" spans="1:20" x14ac:dyDescent="0.25">
      <c r="A21" s="4" t="s">
        <v>87</v>
      </c>
      <c r="B21" t="s">
        <v>88</v>
      </c>
      <c r="C21" t="s">
        <v>28</v>
      </c>
      <c r="D21" s="3">
        <v>6000</v>
      </c>
      <c r="M21" t="s">
        <v>122</v>
      </c>
    </row>
    <row r="22" spans="1:20" x14ac:dyDescent="0.25">
      <c r="A22" s="4" t="s">
        <v>89</v>
      </c>
      <c r="B22" t="s">
        <v>90</v>
      </c>
      <c r="C22" t="s">
        <v>28</v>
      </c>
      <c r="D22" s="3">
        <v>4000</v>
      </c>
      <c r="M22" t="s">
        <v>123</v>
      </c>
    </row>
    <row r="23" spans="1:20" x14ac:dyDescent="0.25">
      <c r="A23" t="s">
        <v>112</v>
      </c>
      <c r="B23" t="s">
        <v>113</v>
      </c>
      <c r="C23" t="s">
        <v>37</v>
      </c>
      <c r="D23">
        <v>15000</v>
      </c>
      <c r="M23" t="s">
        <v>124</v>
      </c>
    </row>
    <row r="24" spans="1:20" x14ac:dyDescent="0.25">
      <c r="A24" s="4" t="s">
        <v>127</v>
      </c>
      <c r="B24" t="s">
        <v>125</v>
      </c>
      <c r="C24" t="s">
        <v>126</v>
      </c>
      <c r="D24" s="3">
        <v>15000</v>
      </c>
    </row>
    <row r="28" spans="1:20" x14ac:dyDescent="0.25">
      <c r="T28" s="15"/>
    </row>
  </sheetData>
  <sortState xmlns:xlrd2="http://schemas.microsoft.com/office/spreadsheetml/2017/richdata2" ref="O3:O23">
    <sortCondition ref="O2"/>
  </sortState>
  <phoneticPr fontId="22" type="noConversion"/>
  <pageMargins left="0.7" right="0.7" top="0.75" bottom="0.75" header="0.3" footer="0.3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G90"/>
  <sheetViews>
    <sheetView showGridLines="0" showRowColHeaders="0" zoomScale="70" zoomScaleNormal="70" workbookViewId="0">
      <selection activeCell="A9" sqref="A9:O9"/>
    </sheetView>
  </sheetViews>
  <sheetFormatPr defaultRowHeight="15" x14ac:dyDescent="0.25"/>
  <cols>
    <col min="1" max="1" width="11.140625" style="24" bestFit="1" customWidth="1"/>
    <col min="2" max="2" width="8.28515625" style="4" bestFit="1" customWidth="1"/>
    <col min="3" max="3" width="10.140625" bestFit="1" customWidth="1"/>
    <col min="4" max="4" width="15.85546875" bestFit="1" customWidth="1"/>
    <col min="5" max="5" width="18" bestFit="1" customWidth="1"/>
    <col min="6" max="6" width="11.42578125" style="15" bestFit="1" customWidth="1"/>
    <col min="7" max="7" width="11.5703125" style="24" bestFit="1" customWidth="1"/>
    <col min="8" max="8" width="3.85546875" style="4" bestFit="1" customWidth="1"/>
    <col min="9" max="9" width="33.85546875" customWidth="1"/>
    <col min="10" max="10" width="2.140625" customWidth="1"/>
    <col min="11" max="11" width="8.140625" style="30" bestFit="1" customWidth="1"/>
    <col min="12" max="12" width="7.140625" style="4" bestFit="1" customWidth="1"/>
    <col min="13" max="13" width="13.7109375" style="22" bestFit="1" customWidth="1"/>
    <col min="14" max="14" width="13.7109375" style="22" customWidth="1"/>
    <col min="15" max="15" width="14.28515625" style="38" bestFit="1" customWidth="1"/>
    <col min="16" max="16" width="3.28515625" style="3" customWidth="1"/>
    <col min="17" max="17" width="11.5703125" style="3" bestFit="1" customWidth="1"/>
    <col min="18" max="18" width="14.5703125" style="3" bestFit="1" customWidth="1"/>
    <col min="20" max="20" width="11.140625" style="32" bestFit="1" customWidth="1"/>
    <col min="21" max="21" width="8.28515625" style="15" bestFit="1" customWidth="1"/>
    <col min="22" max="22" width="10.140625" bestFit="1" customWidth="1"/>
    <col min="23" max="23" width="15.85546875" bestFit="1" customWidth="1"/>
    <col min="24" max="24" width="16.140625" bestFit="1" customWidth="1"/>
    <col min="25" max="26" width="11.140625" style="15" bestFit="1" customWidth="1"/>
    <col min="27" max="27" width="3.5703125" bestFit="1" customWidth="1"/>
    <col min="28" max="28" width="39.140625" customWidth="1"/>
    <col min="29" max="29" width="12.5703125" customWidth="1"/>
    <col min="30" max="30" width="7.140625" bestFit="1" customWidth="1"/>
    <col min="31" max="31" width="13.7109375" style="22" bestFit="1" customWidth="1"/>
    <col min="32" max="32" width="13.7109375" style="22" customWidth="1"/>
    <col min="33" max="33" width="15.7109375" style="33" bestFit="1" customWidth="1"/>
  </cols>
  <sheetData>
    <row r="1" spans="1:33" ht="15.75" thickBot="1" x14ac:dyDescent="0.3">
      <c r="A1" s="16" t="s">
        <v>68</v>
      </c>
      <c r="B1" s="14" t="s">
        <v>94</v>
      </c>
      <c r="C1" s="14" t="s">
        <v>95</v>
      </c>
      <c r="D1" s="14" t="s">
        <v>96</v>
      </c>
      <c r="E1" s="14" t="s">
        <v>97</v>
      </c>
      <c r="F1" s="23" t="s">
        <v>4</v>
      </c>
      <c r="G1" s="23" t="s">
        <v>13</v>
      </c>
      <c r="H1" s="36" t="s">
        <v>5</v>
      </c>
      <c r="I1" s="152" t="s">
        <v>98</v>
      </c>
      <c r="J1" s="152"/>
      <c r="K1" s="8" t="s">
        <v>60</v>
      </c>
      <c r="L1" s="8" t="s">
        <v>18</v>
      </c>
      <c r="M1" s="25" t="s">
        <v>19</v>
      </c>
      <c r="N1" s="25" t="s">
        <v>61</v>
      </c>
      <c r="O1" s="35" t="s">
        <v>99</v>
      </c>
      <c r="P1" s="34"/>
      <c r="Q1" s="17" t="s">
        <v>68</v>
      </c>
      <c r="R1" s="17" t="s">
        <v>68</v>
      </c>
      <c r="S1">
        <v>3</v>
      </c>
    </row>
    <row r="2" spans="1:33" ht="15" customHeight="1" x14ac:dyDescent="0.25">
      <c r="A2" s="24">
        <v>43862</v>
      </c>
      <c r="B2" s="24" t="s">
        <v>106</v>
      </c>
      <c r="C2" t="s">
        <v>111</v>
      </c>
      <c r="D2" t="s">
        <v>104</v>
      </c>
      <c r="E2" s="4">
        <v>987654321</v>
      </c>
      <c r="F2" s="15">
        <v>43862</v>
      </c>
      <c r="G2" s="15">
        <v>43862</v>
      </c>
      <c r="H2" s="4">
        <v>1</v>
      </c>
      <c r="I2" s="29" t="s">
        <v>23</v>
      </c>
      <c r="J2" s="29"/>
      <c r="K2" s="30">
        <v>3</v>
      </c>
      <c r="L2" t="s">
        <v>28</v>
      </c>
      <c r="M2" s="22">
        <v>15000</v>
      </c>
      <c r="N2" s="22">
        <v>45000</v>
      </c>
      <c r="O2" s="37" t="s">
        <v>47</v>
      </c>
      <c r="P2" s="22"/>
      <c r="Q2" s="39" t="s">
        <v>131</v>
      </c>
      <c r="R2" s="39" t="s">
        <v>132</v>
      </c>
      <c r="T2" s="150" t="s">
        <v>62</v>
      </c>
      <c r="U2" s="150"/>
      <c r="V2" s="150"/>
      <c r="W2" s="150"/>
      <c r="X2" s="150"/>
      <c r="Y2" s="150"/>
      <c r="Z2" s="150"/>
      <c r="AA2" s="10"/>
      <c r="AB2" s="10"/>
      <c r="AC2" s="141">
        <f ca="1">NOW()</f>
        <v>44259.851760995371</v>
      </c>
      <c r="AD2" s="142"/>
      <c r="AE2" s="142"/>
      <c r="AF2" s="142"/>
      <c r="AG2" s="143"/>
    </row>
    <row r="3" spans="1:33" ht="15" customHeight="1" x14ac:dyDescent="0.25">
      <c r="A3" s="24">
        <v>43862</v>
      </c>
      <c r="B3" s="4" t="s">
        <v>106</v>
      </c>
      <c r="C3" t="s">
        <v>111</v>
      </c>
      <c r="D3" t="s">
        <v>104</v>
      </c>
      <c r="E3">
        <v>987654321</v>
      </c>
      <c r="F3" s="15">
        <v>43862</v>
      </c>
      <c r="G3" s="24">
        <v>43862</v>
      </c>
      <c r="H3" s="4">
        <v>2</v>
      </c>
      <c r="I3" s="29" t="s">
        <v>31</v>
      </c>
      <c r="J3" s="29"/>
      <c r="K3" s="30">
        <v>2</v>
      </c>
      <c r="L3" s="4" t="s">
        <v>38</v>
      </c>
      <c r="M3" s="22">
        <v>20000</v>
      </c>
      <c r="N3" s="22">
        <v>40000</v>
      </c>
      <c r="O3" s="38" t="s">
        <v>54</v>
      </c>
      <c r="T3" s="150"/>
      <c r="U3" s="150"/>
      <c r="V3" s="150"/>
      <c r="W3" s="150"/>
      <c r="X3" s="150"/>
      <c r="Y3" s="150"/>
      <c r="Z3" s="150"/>
      <c r="AA3" s="10"/>
      <c r="AB3" s="10"/>
      <c r="AC3" s="144"/>
      <c r="AD3" s="145"/>
      <c r="AE3" s="145"/>
      <c r="AF3" s="145"/>
      <c r="AG3" s="146"/>
    </row>
    <row r="4" spans="1:33" ht="15.75" customHeight="1" thickBot="1" x14ac:dyDescent="0.3">
      <c r="A4" s="24">
        <v>43862</v>
      </c>
      <c r="B4" s="4" t="s">
        <v>128</v>
      </c>
      <c r="C4" t="s">
        <v>93</v>
      </c>
      <c r="D4" t="s">
        <v>92</v>
      </c>
      <c r="E4">
        <v>9876754</v>
      </c>
      <c r="F4" s="15">
        <v>43862</v>
      </c>
      <c r="G4" s="24">
        <v>43862</v>
      </c>
      <c r="H4" s="4">
        <v>1</v>
      </c>
      <c r="I4" s="29" t="s">
        <v>40</v>
      </c>
      <c r="J4" s="29"/>
      <c r="K4" s="30">
        <v>2</v>
      </c>
      <c r="L4" s="4" t="s">
        <v>28</v>
      </c>
      <c r="M4" s="22">
        <v>15000</v>
      </c>
      <c r="N4" s="22">
        <v>30000</v>
      </c>
      <c r="O4" s="38" t="s">
        <v>50</v>
      </c>
      <c r="T4" s="150"/>
      <c r="U4" s="150"/>
      <c r="V4" s="150"/>
      <c r="W4" s="150"/>
      <c r="X4" s="150"/>
      <c r="Y4" s="150"/>
      <c r="Z4" s="150"/>
      <c r="AA4" s="10"/>
      <c r="AB4" s="10"/>
      <c r="AC4" s="147"/>
      <c r="AD4" s="148"/>
      <c r="AE4" s="148"/>
      <c r="AF4" s="148"/>
      <c r="AG4" s="149"/>
    </row>
    <row r="5" spans="1:33" x14ac:dyDescent="0.25">
      <c r="A5" s="24">
        <v>43862</v>
      </c>
      <c r="B5" s="4" t="s">
        <v>128</v>
      </c>
      <c r="C5" t="s">
        <v>93</v>
      </c>
      <c r="D5" t="s">
        <v>92</v>
      </c>
      <c r="E5">
        <v>9876754</v>
      </c>
      <c r="F5" s="15">
        <v>43862</v>
      </c>
      <c r="G5" s="24">
        <v>43862</v>
      </c>
      <c r="H5" s="4">
        <v>2</v>
      </c>
      <c r="I5" s="29" t="s">
        <v>31</v>
      </c>
      <c r="J5" s="29"/>
      <c r="K5" s="30">
        <v>1</v>
      </c>
      <c r="L5" s="4" t="s">
        <v>38</v>
      </c>
      <c r="M5" s="22">
        <v>20000</v>
      </c>
      <c r="N5" s="22">
        <v>20000</v>
      </c>
      <c r="O5" s="38" t="s">
        <v>54</v>
      </c>
    </row>
    <row r="6" spans="1:33" x14ac:dyDescent="0.25">
      <c r="A6" s="24">
        <v>43862</v>
      </c>
      <c r="B6" s="4" t="s">
        <v>130</v>
      </c>
      <c r="C6" t="s">
        <v>111</v>
      </c>
      <c r="D6" t="s">
        <v>129</v>
      </c>
      <c r="E6">
        <v>23334</v>
      </c>
      <c r="F6" s="15">
        <v>43862</v>
      </c>
      <c r="G6" s="24">
        <v>43862</v>
      </c>
      <c r="H6" s="4">
        <v>1</v>
      </c>
      <c r="I6" s="29" t="s">
        <v>20</v>
      </c>
      <c r="J6" s="29"/>
      <c r="K6" s="30">
        <v>3</v>
      </c>
      <c r="L6" s="4" t="s">
        <v>28</v>
      </c>
      <c r="M6" s="22">
        <v>5000</v>
      </c>
      <c r="N6" s="22">
        <v>15000</v>
      </c>
      <c r="O6" s="38" t="s">
        <v>43</v>
      </c>
    </row>
    <row r="7" spans="1:33" x14ac:dyDescent="0.25">
      <c r="A7" s="24">
        <v>43862</v>
      </c>
      <c r="B7" s="4" t="s">
        <v>130</v>
      </c>
      <c r="C7" t="s">
        <v>111</v>
      </c>
      <c r="D7" t="s">
        <v>129</v>
      </c>
      <c r="E7">
        <v>23334</v>
      </c>
      <c r="F7" s="15">
        <v>43862</v>
      </c>
      <c r="G7" s="24">
        <v>43862</v>
      </c>
      <c r="H7" s="4">
        <v>2</v>
      </c>
      <c r="I7" s="29" t="s">
        <v>23</v>
      </c>
      <c r="J7" s="29"/>
      <c r="K7" s="30">
        <v>2</v>
      </c>
      <c r="L7" s="4" t="s">
        <v>28</v>
      </c>
      <c r="M7" s="22">
        <v>15000</v>
      </c>
      <c r="N7" s="22">
        <v>30000</v>
      </c>
      <c r="O7" s="38" t="s">
        <v>47</v>
      </c>
    </row>
    <row r="8" spans="1:33" ht="15" customHeight="1" x14ac:dyDescent="0.25">
      <c r="A8" s="24">
        <v>43862</v>
      </c>
      <c r="B8" s="4" t="s">
        <v>130</v>
      </c>
      <c r="C8" t="s">
        <v>111</v>
      </c>
      <c r="D8" t="s">
        <v>129</v>
      </c>
      <c r="E8">
        <v>23334</v>
      </c>
      <c r="F8" s="15">
        <v>43862</v>
      </c>
      <c r="G8" s="24">
        <v>43862</v>
      </c>
      <c r="H8" s="4">
        <v>3</v>
      </c>
      <c r="I8" s="29" t="s">
        <v>29</v>
      </c>
      <c r="J8" s="29"/>
      <c r="K8" s="30">
        <v>2</v>
      </c>
      <c r="L8" s="4" t="s">
        <v>37</v>
      </c>
      <c r="M8" s="22">
        <v>12000</v>
      </c>
      <c r="N8" s="22">
        <v>24000</v>
      </c>
      <c r="O8" s="38" t="s">
        <v>52</v>
      </c>
      <c r="T8" s="40"/>
      <c r="U8" s="26"/>
      <c r="V8" s="9"/>
      <c r="W8" s="9"/>
      <c r="AA8" s="11"/>
      <c r="AB8" s="7"/>
      <c r="AC8" s="13" t="s">
        <v>63</v>
      </c>
      <c r="AD8" s="7"/>
    </row>
    <row r="9" spans="1:33" ht="15" customHeight="1" x14ac:dyDescent="0.25">
      <c r="A9" s="24">
        <v>43986</v>
      </c>
      <c r="B9" s="4" t="s">
        <v>136</v>
      </c>
      <c r="D9" t="s">
        <v>135</v>
      </c>
      <c r="E9">
        <v>9876</v>
      </c>
      <c r="F9" s="15">
        <v>43986</v>
      </c>
      <c r="G9" s="24">
        <v>43986</v>
      </c>
      <c r="H9" s="4">
        <v>1</v>
      </c>
      <c r="I9" s="29" t="s">
        <v>24</v>
      </c>
      <c r="J9" s="29"/>
      <c r="K9" s="30">
        <v>3</v>
      </c>
      <c r="L9" s="4" t="s">
        <v>28</v>
      </c>
      <c r="M9" s="22">
        <v>10000</v>
      </c>
      <c r="N9" s="22">
        <v>30000</v>
      </c>
      <c r="O9" s="38" t="s">
        <v>48</v>
      </c>
      <c r="T9" s="40"/>
      <c r="U9" s="26"/>
      <c r="V9" s="9"/>
      <c r="W9" s="9"/>
      <c r="AA9" s="12"/>
      <c r="AB9" s="12"/>
      <c r="AC9" s="151">
        <f>SUM($AF$14:$AF$580)</f>
        <v>204000</v>
      </c>
      <c r="AD9" s="151"/>
      <c r="AE9" s="151"/>
      <c r="AF9" s="151"/>
      <c r="AG9" s="151"/>
    </row>
    <row r="10" spans="1:33" ht="15" customHeight="1" x14ac:dyDescent="0.25">
      <c r="I10" s="29"/>
      <c r="J10" s="29"/>
      <c r="AA10" s="12"/>
      <c r="AB10" s="12"/>
      <c r="AC10" s="151"/>
      <c r="AD10" s="151"/>
      <c r="AE10" s="151"/>
      <c r="AF10" s="151"/>
      <c r="AG10" s="151"/>
    </row>
    <row r="11" spans="1:33" ht="15" customHeight="1" x14ac:dyDescent="0.25">
      <c r="I11" s="29"/>
      <c r="J11" s="29"/>
      <c r="AA11" s="12"/>
      <c r="AB11" s="12"/>
      <c r="AC11" s="151"/>
      <c r="AD11" s="151"/>
      <c r="AE11" s="151"/>
      <c r="AF11" s="151"/>
      <c r="AG11" s="151"/>
    </row>
    <row r="12" spans="1:33" x14ac:dyDescent="0.25">
      <c r="I12" s="29"/>
      <c r="J12" s="29"/>
      <c r="AC12" s="28"/>
    </row>
    <row r="13" spans="1:33" x14ac:dyDescent="0.25">
      <c r="I13" s="29"/>
      <c r="J13" s="29"/>
      <c r="T13" s="41" t="s">
        <v>68</v>
      </c>
      <c r="U13" s="14" t="s">
        <v>94</v>
      </c>
      <c r="V13" s="14" t="s">
        <v>95</v>
      </c>
      <c r="W13" s="14" t="s">
        <v>96</v>
      </c>
      <c r="X13" s="14" t="s">
        <v>97</v>
      </c>
      <c r="Y13" s="23" t="s">
        <v>4</v>
      </c>
      <c r="Z13" s="23" t="s">
        <v>13</v>
      </c>
      <c r="AA13" s="8" t="s">
        <v>5</v>
      </c>
      <c r="AB13" s="8" t="s">
        <v>98</v>
      </c>
      <c r="AC13" s="8" t="s">
        <v>60</v>
      </c>
      <c r="AD13" s="8" t="s">
        <v>18</v>
      </c>
      <c r="AE13" s="25" t="s">
        <v>19</v>
      </c>
      <c r="AF13" s="25" t="s">
        <v>61</v>
      </c>
      <c r="AG13" s="25" t="s">
        <v>99</v>
      </c>
    </row>
    <row r="14" spans="1:33" x14ac:dyDescent="0.25">
      <c r="I14" s="29"/>
      <c r="J14" s="29"/>
      <c r="T14" s="24">
        <v>43862</v>
      </c>
      <c r="U14" s="24" t="s">
        <v>106</v>
      </c>
      <c r="V14" t="s">
        <v>111</v>
      </c>
      <c r="W14" t="s">
        <v>104</v>
      </c>
      <c r="X14" s="4">
        <v>987654321</v>
      </c>
      <c r="Y14" s="15">
        <v>43862</v>
      </c>
      <c r="Z14" s="15">
        <v>43862</v>
      </c>
      <c r="AA14" s="4">
        <v>1</v>
      </c>
      <c r="AB14" s="29" t="s">
        <v>23</v>
      </c>
      <c r="AC14" s="30">
        <v>3</v>
      </c>
      <c r="AD14" t="s">
        <v>28</v>
      </c>
      <c r="AE14" s="22">
        <v>15000</v>
      </c>
      <c r="AF14" s="22">
        <v>45000</v>
      </c>
      <c r="AG14" s="37" t="s">
        <v>47</v>
      </c>
    </row>
    <row r="15" spans="1:33" x14ac:dyDescent="0.25">
      <c r="I15" s="29"/>
      <c r="J15" s="29"/>
      <c r="T15" s="24">
        <v>43862</v>
      </c>
      <c r="U15" s="4" t="s">
        <v>106</v>
      </c>
      <c r="V15" t="s">
        <v>111</v>
      </c>
      <c r="W15" t="s">
        <v>104</v>
      </c>
      <c r="X15">
        <v>987654321</v>
      </c>
      <c r="Y15" s="15">
        <v>43862</v>
      </c>
      <c r="Z15" s="24">
        <v>43862</v>
      </c>
      <c r="AA15" s="4">
        <v>2</v>
      </c>
      <c r="AB15" s="29" t="s">
        <v>31</v>
      </c>
      <c r="AC15" s="30">
        <v>2</v>
      </c>
      <c r="AD15" s="4" t="s">
        <v>38</v>
      </c>
      <c r="AE15" s="22">
        <v>20000</v>
      </c>
      <c r="AF15" s="22">
        <v>40000</v>
      </c>
      <c r="AG15" s="38" t="s">
        <v>54</v>
      </c>
    </row>
    <row r="16" spans="1:33" x14ac:dyDescent="0.25">
      <c r="I16" s="29"/>
      <c r="J16" s="29"/>
      <c r="T16" s="24">
        <v>43862</v>
      </c>
      <c r="U16" s="4" t="s">
        <v>128</v>
      </c>
      <c r="V16" t="s">
        <v>93</v>
      </c>
      <c r="W16" t="s">
        <v>92</v>
      </c>
      <c r="X16">
        <v>9876754</v>
      </c>
      <c r="Y16" s="15">
        <v>43862</v>
      </c>
      <c r="Z16" s="24">
        <v>43862</v>
      </c>
      <c r="AA16" s="4">
        <v>1</v>
      </c>
      <c r="AB16" s="29" t="s">
        <v>40</v>
      </c>
      <c r="AC16" s="30">
        <v>2</v>
      </c>
      <c r="AD16" s="4" t="s">
        <v>28</v>
      </c>
      <c r="AE16" s="22">
        <v>15000</v>
      </c>
      <c r="AF16" s="22">
        <v>30000</v>
      </c>
      <c r="AG16" s="38" t="s">
        <v>50</v>
      </c>
    </row>
    <row r="17" spans="9:33" x14ac:dyDescent="0.25">
      <c r="I17" s="29"/>
      <c r="J17" s="29"/>
      <c r="T17" s="24">
        <v>43862</v>
      </c>
      <c r="U17" s="4" t="s">
        <v>128</v>
      </c>
      <c r="V17" t="s">
        <v>93</v>
      </c>
      <c r="W17" t="s">
        <v>92</v>
      </c>
      <c r="X17">
        <v>9876754</v>
      </c>
      <c r="Y17" s="15">
        <v>43862</v>
      </c>
      <c r="Z17" s="24">
        <v>43862</v>
      </c>
      <c r="AA17" s="4">
        <v>2</v>
      </c>
      <c r="AB17" s="29" t="s">
        <v>31</v>
      </c>
      <c r="AC17" s="30">
        <v>1</v>
      </c>
      <c r="AD17" s="4" t="s">
        <v>38</v>
      </c>
      <c r="AE17" s="22">
        <v>20000</v>
      </c>
      <c r="AF17" s="22">
        <v>20000</v>
      </c>
      <c r="AG17" s="38" t="s">
        <v>54</v>
      </c>
    </row>
    <row r="18" spans="9:33" x14ac:dyDescent="0.25">
      <c r="T18" s="24">
        <v>43862</v>
      </c>
      <c r="U18" s="4" t="s">
        <v>130</v>
      </c>
      <c r="V18" t="s">
        <v>111</v>
      </c>
      <c r="W18" t="s">
        <v>129</v>
      </c>
      <c r="X18">
        <v>23334</v>
      </c>
      <c r="Y18" s="15">
        <v>43862</v>
      </c>
      <c r="Z18" s="24">
        <v>43862</v>
      </c>
      <c r="AA18" s="4">
        <v>1</v>
      </c>
      <c r="AB18" s="29" t="s">
        <v>20</v>
      </c>
      <c r="AC18" s="30">
        <v>3</v>
      </c>
      <c r="AD18" s="4" t="s">
        <v>28</v>
      </c>
      <c r="AE18" s="22">
        <v>5000</v>
      </c>
      <c r="AF18" s="22">
        <v>15000</v>
      </c>
      <c r="AG18" s="38" t="s">
        <v>43</v>
      </c>
    </row>
    <row r="19" spans="9:33" x14ac:dyDescent="0.25">
      <c r="T19" s="24">
        <v>43862</v>
      </c>
      <c r="U19" s="4" t="s">
        <v>130</v>
      </c>
      <c r="V19" t="s">
        <v>111</v>
      </c>
      <c r="W19" t="s">
        <v>129</v>
      </c>
      <c r="X19">
        <v>23334</v>
      </c>
      <c r="Y19" s="15">
        <v>43862</v>
      </c>
      <c r="Z19" s="24">
        <v>43862</v>
      </c>
      <c r="AA19" s="4">
        <v>2</v>
      </c>
      <c r="AB19" s="29" t="s">
        <v>23</v>
      </c>
      <c r="AC19" s="30">
        <v>2</v>
      </c>
      <c r="AD19" s="4" t="s">
        <v>28</v>
      </c>
      <c r="AE19" s="22">
        <v>15000</v>
      </c>
      <c r="AF19" s="22">
        <v>30000</v>
      </c>
      <c r="AG19" s="38" t="s">
        <v>47</v>
      </c>
    </row>
    <row r="20" spans="9:33" x14ac:dyDescent="0.25">
      <c r="T20" s="24">
        <v>43862</v>
      </c>
      <c r="U20" s="4" t="s">
        <v>130</v>
      </c>
      <c r="V20" t="s">
        <v>111</v>
      </c>
      <c r="W20" t="s">
        <v>129</v>
      </c>
      <c r="X20">
        <v>23334</v>
      </c>
      <c r="Y20" s="15">
        <v>43862</v>
      </c>
      <c r="Z20" s="24">
        <v>43862</v>
      </c>
      <c r="AA20" s="4">
        <v>3</v>
      </c>
      <c r="AB20" s="29" t="s">
        <v>29</v>
      </c>
      <c r="AC20" s="30">
        <v>2</v>
      </c>
      <c r="AD20" s="4" t="s">
        <v>37</v>
      </c>
      <c r="AE20" s="22">
        <v>12000</v>
      </c>
      <c r="AF20" s="22">
        <v>24000</v>
      </c>
      <c r="AG20" s="38" t="s">
        <v>52</v>
      </c>
    </row>
    <row r="21" spans="9:33" x14ac:dyDescent="0.25">
      <c r="T21" s="24"/>
      <c r="U21" s="4"/>
      <c r="Z21" s="24"/>
      <c r="AA21" s="4"/>
      <c r="AC21" s="30"/>
      <c r="AD21" s="4"/>
      <c r="AG21" s="38"/>
    </row>
    <row r="22" spans="9:33" x14ac:dyDescent="0.25">
      <c r="T22" s="24"/>
      <c r="U22" s="4"/>
      <c r="Z22" s="24"/>
      <c r="AA22" s="4"/>
      <c r="AC22" s="30"/>
      <c r="AD22" s="4"/>
      <c r="AG22" s="38"/>
    </row>
    <row r="23" spans="9:33" x14ac:dyDescent="0.25">
      <c r="T23" s="24"/>
      <c r="U23" s="4"/>
      <c r="Z23" s="24"/>
      <c r="AA23" s="4"/>
      <c r="AC23" s="30"/>
      <c r="AD23" s="4"/>
      <c r="AG23" s="38"/>
    </row>
    <row r="24" spans="9:33" x14ac:dyDescent="0.25">
      <c r="T24" s="24"/>
      <c r="U24" s="4"/>
      <c r="Z24" s="24"/>
      <c r="AA24" s="4"/>
      <c r="AC24" s="30"/>
      <c r="AD24" s="4"/>
      <c r="AG24" s="38"/>
    </row>
    <row r="25" spans="9:33" x14ac:dyDescent="0.25">
      <c r="T25" s="24"/>
      <c r="U25" s="4"/>
      <c r="Z25" s="24"/>
      <c r="AA25" s="4"/>
      <c r="AC25" s="30"/>
      <c r="AD25" s="4"/>
      <c r="AG25" s="38"/>
    </row>
    <row r="26" spans="9:33" x14ac:dyDescent="0.25">
      <c r="T26" s="24"/>
      <c r="U26" s="4"/>
      <c r="Z26" s="24"/>
      <c r="AA26" s="4"/>
      <c r="AC26" s="30"/>
      <c r="AD26" s="4"/>
      <c r="AG26" s="38"/>
    </row>
    <row r="27" spans="9:33" x14ac:dyDescent="0.25">
      <c r="T27" s="24"/>
      <c r="U27" s="4"/>
      <c r="Z27" s="24"/>
      <c r="AA27" s="4"/>
      <c r="AC27" s="30"/>
      <c r="AD27" s="4"/>
      <c r="AG27" s="38"/>
    </row>
    <row r="28" spans="9:33" x14ac:dyDescent="0.25">
      <c r="T28" s="24"/>
      <c r="U28" s="4"/>
      <c r="Z28" s="24"/>
      <c r="AA28" s="4"/>
      <c r="AC28" s="30"/>
      <c r="AD28" s="4"/>
      <c r="AG28" s="38"/>
    </row>
    <row r="29" spans="9:33" x14ac:dyDescent="0.25">
      <c r="T29" s="24"/>
      <c r="U29" s="4"/>
      <c r="Z29" s="24"/>
      <c r="AA29" s="4"/>
      <c r="AC29" s="30"/>
      <c r="AD29" s="4"/>
      <c r="AG29" s="38"/>
    </row>
    <row r="30" spans="9:33" x14ac:dyDescent="0.25">
      <c r="T30" s="24"/>
      <c r="U30" s="4"/>
      <c r="Z30" s="24"/>
      <c r="AA30" s="4"/>
      <c r="AC30" s="30"/>
      <c r="AD30" s="4"/>
      <c r="AG30" s="38"/>
    </row>
    <row r="31" spans="9:33" x14ac:dyDescent="0.25">
      <c r="T31" s="24"/>
      <c r="U31" s="4"/>
      <c r="Z31" s="24"/>
      <c r="AA31" s="4"/>
      <c r="AC31" s="30"/>
      <c r="AD31" s="4"/>
      <c r="AG31" s="38"/>
    </row>
    <row r="32" spans="9:33" x14ac:dyDescent="0.25">
      <c r="T32" s="24"/>
      <c r="U32" s="4"/>
      <c r="Z32" s="24"/>
      <c r="AA32" s="4"/>
      <c r="AC32" s="30"/>
      <c r="AD32" s="4"/>
      <c r="AG32" s="38"/>
    </row>
    <row r="33" spans="20:33" x14ac:dyDescent="0.25">
      <c r="T33" s="24"/>
      <c r="U33" s="4"/>
      <c r="Z33" s="24"/>
      <c r="AA33" s="4"/>
      <c r="AC33" s="30"/>
      <c r="AD33" s="4"/>
      <c r="AG33" s="38"/>
    </row>
    <row r="34" spans="20:33" x14ac:dyDescent="0.25">
      <c r="T34" s="24"/>
      <c r="U34" s="4"/>
      <c r="Z34" s="24"/>
      <c r="AA34" s="4"/>
      <c r="AC34" s="30"/>
      <c r="AD34" s="4"/>
      <c r="AG34" s="38"/>
    </row>
    <row r="35" spans="20:33" x14ac:dyDescent="0.25">
      <c r="T35" s="24"/>
      <c r="U35" s="4"/>
      <c r="Z35" s="24"/>
      <c r="AA35" s="4"/>
      <c r="AC35" s="30"/>
      <c r="AD35" s="4"/>
      <c r="AG35" s="38"/>
    </row>
    <row r="36" spans="20:33" x14ac:dyDescent="0.25">
      <c r="T36" s="24"/>
      <c r="U36" s="4"/>
      <c r="Z36" s="24"/>
      <c r="AA36" s="4"/>
      <c r="AC36" s="30"/>
      <c r="AD36" s="4"/>
      <c r="AG36" s="38"/>
    </row>
    <row r="37" spans="20:33" x14ac:dyDescent="0.25">
      <c r="T37" s="24"/>
      <c r="U37" s="4"/>
      <c r="Z37" s="24"/>
      <c r="AA37" s="4"/>
      <c r="AC37" s="30"/>
      <c r="AD37" s="4"/>
      <c r="AG37" s="38"/>
    </row>
    <row r="38" spans="20:33" x14ac:dyDescent="0.25">
      <c r="T38" s="24"/>
      <c r="U38" s="4"/>
      <c r="Z38" s="24"/>
      <c r="AA38" s="4"/>
      <c r="AC38" s="30"/>
      <c r="AD38" s="4"/>
      <c r="AG38" s="38"/>
    </row>
    <row r="39" spans="20:33" x14ac:dyDescent="0.25">
      <c r="T39" s="24"/>
      <c r="U39" s="4"/>
      <c r="Z39" s="24"/>
      <c r="AA39" s="4"/>
      <c r="AC39" s="30"/>
      <c r="AD39" s="4"/>
      <c r="AG39" s="38"/>
    </row>
    <row r="40" spans="20:33" x14ac:dyDescent="0.25">
      <c r="T40" s="24"/>
      <c r="U40" s="4"/>
      <c r="Z40" s="24"/>
      <c r="AA40" s="4"/>
      <c r="AC40" s="30"/>
      <c r="AD40" s="4"/>
      <c r="AG40" s="38"/>
    </row>
    <row r="41" spans="20:33" x14ac:dyDescent="0.25">
      <c r="T41" s="24"/>
      <c r="U41" s="4"/>
      <c r="Z41" s="24"/>
      <c r="AA41" s="4"/>
      <c r="AC41" s="30"/>
      <c r="AD41" s="4"/>
      <c r="AG41" s="38"/>
    </row>
    <row r="42" spans="20:33" x14ac:dyDescent="0.25">
      <c r="T42" s="24"/>
      <c r="U42" s="4"/>
      <c r="Z42" s="24"/>
      <c r="AA42" s="4"/>
      <c r="AC42" s="30"/>
      <c r="AD42" s="4"/>
      <c r="AG42" s="38"/>
    </row>
    <row r="43" spans="20:33" x14ac:dyDescent="0.25">
      <c r="T43" s="24"/>
      <c r="U43" s="4"/>
      <c r="Z43" s="24"/>
      <c r="AA43" s="4"/>
      <c r="AC43" s="30"/>
      <c r="AD43" s="4"/>
      <c r="AG43" s="38"/>
    </row>
    <row r="44" spans="20:33" x14ac:dyDescent="0.25">
      <c r="T44" s="24"/>
      <c r="U44" s="4"/>
      <c r="Z44" s="24"/>
      <c r="AA44" s="4"/>
      <c r="AC44" s="30"/>
      <c r="AD44" s="4"/>
      <c r="AG44" s="38"/>
    </row>
    <row r="45" spans="20:33" x14ac:dyDescent="0.25">
      <c r="T45" s="24"/>
      <c r="U45" s="4"/>
      <c r="Z45" s="24"/>
      <c r="AA45" s="4"/>
      <c r="AC45" s="30"/>
      <c r="AD45" s="4"/>
      <c r="AG45" s="38"/>
    </row>
    <row r="46" spans="20:33" x14ac:dyDescent="0.25">
      <c r="T46" s="24"/>
      <c r="U46" s="4"/>
      <c r="Z46" s="24"/>
      <c r="AA46" s="4"/>
      <c r="AC46" s="30"/>
      <c r="AD46" s="4"/>
      <c r="AG46" s="38"/>
    </row>
    <row r="47" spans="20:33" x14ac:dyDescent="0.25">
      <c r="T47" s="24"/>
      <c r="U47" s="4"/>
      <c r="Z47" s="24"/>
      <c r="AA47" s="4"/>
      <c r="AC47" s="30"/>
      <c r="AD47" s="4"/>
      <c r="AG47" s="38"/>
    </row>
    <row r="48" spans="20:33" x14ac:dyDescent="0.25">
      <c r="T48" s="24"/>
      <c r="U48" s="4"/>
      <c r="Z48" s="24"/>
      <c r="AA48" s="4"/>
      <c r="AC48" s="30"/>
      <c r="AD48" s="4"/>
      <c r="AG48" s="38"/>
    </row>
    <row r="49" spans="20:33" x14ac:dyDescent="0.25">
      <c r="T49" s="24"/>
      <c r="U49" s="4"/>
      <c r="Z49" s="24"/>
      <c r="AA49" s="4"/>
      <c r="AC49" s="30"/>
      <c r="AD49" s="4"/>
      <c r="AG49" s="38"/>
    </row>
    <row r="50" spans="20:33" x14ac:dyDescent="0.25">
      <c r="T50" s="24"/>
      <c r="U50" s="4"/>
      <c r="Z50" s="24"/>
      <c r="AA50" s="4"/>
      <c r="AC50" s="30"/>
      <c r="AD50" s="4"/>
      <c r="AG50" s="38"/>
    </row>
    <row r="51" spans="20:33" x14ac:dyDescent="0.25">
      <c r="T51" s="24"/>
      <c r="U51" s="4"/>
      <c r="Z51" s="24"/>
      <c r="AA51" s="4"/>
      <c r="AC51" s="30"/>
      <c r="AD51" s="4"/>
      <c r="AG51" s="38"/>
    </row>
    <row r="52" spans="20:33" x14ac:dyDescent="0.25">
      <c r="T52" s="24"/>
      <c r="U52" s="4"/>
      <c r="Z52" s="24"/>
      <c r="AA52" s="4"/>
      <c r="AC52" s="30"/>
      <c r="AD52" s="4"/>
      <c r="AG52" s="38"/>
    </row>
    <row r="53" spans="20:33" x14ac:dyDescent="0.25">
      <c r="T53" s="24"/>
      <c r="U53" s="4"/>
      <c r="Z53" s="24"/>
      <c r="AA53" s="4"/>
      <c r="AC53" s="30"/>
      <c r="AD53" s="4"/>
      <c r="AG53" s="38"/>
    </row>
    <row r="54" spans="20:33" x14ac:dyDescent="0.25">
      <c r="T54" s="24"/>
      <c r="U54" s="4"/>
      <c r="Z54" s="24"/>
      <c r="AA54" s="4"/>
      <c r="AC54" s="30"/>
      <c r="AD54" s="4"/>
      <c r="AG54" s="38"/>
    </row>
    <row r="55" spans="20:33" x14ac:dyDescent="0.25">
      <c r="T55" s="24"/>
      <c r="U55" s="4"/>
      <c r="Z55" s="24"/>
      <c r="AA55" s="4"/>
      <c r="AC55" s="30"/>
      <c r="AD55" s="4"/>
      <c r="AG55" s="38"/>
    </row>
    <row r="56" spans="20:33" x14ac:dyDescent="0.25">
      <c r="T56" s="24"/>
      <c r="U56" s="4"/>
      <c r="Z56" s="24"/>
      <c r="AA56" s="4"/>
      <c r="AC56" s="30"/>
      <c r="AD56" s="4"/>
      <c r="AG56" s="38"/>
    </row>
    <row r="57" spans="20:33" x14ac:dyDescent="0.25">
      <c r="T57" s="24"/>
      <c r="U57" s="4"/>
      <c r="Z57" s="24"/>
      <c r="AA57" s="4"/>
      <c r="AC57" s="30"/>
      <c r="AD57" s="4"/>
      <c r="AG57" s="38"/>
    </row>
    <row r="58" spans="20:33" x14ac:dyDescent="0.25">
      <c r="T58" s="24"/>
      <c r="U58" s="4"/>
      <c r="Z58" s="24"/>
      <c r="AA58" s="4"/>
      <c r="AC58" s="30"/>
      <c r="AD58" s="4"/>
      <c r="AG58" s="38"/>
    </row>
    <row r="59" spans="20:33" x14ac:dyDescent="0.25">
      <c r="T59" s="24"/>
      <c r="U59" s="4"/>
      <c r="Z59" s="24"/>
      <c r="AA59" s="4"/>
      <c r="AC59" s="30"/>
      <c r="AD59" s="4"/>
      <c r="AG59" s="38"/>
    </row>
    <row r="60" spans="20:33" x14ac:dyDescent="0.25">
      <c r="T60" s="24"/>
      <c r="U60" s="4"/>
      <c r="Z60" s="24"/>
      <c r="AA60" s="4"/>
      <c r="AC60" s="30"/>
      <c r="AD60" s="4"/>
      <c r="AG60" s="38"/>
    </row>
    <row r="61" spans="20:33" x14ac:dyDescent="0.25">
      <c r="T61" s="24"/>
      <c r="U61" s="4"/>
      <c r="Z61" s="24"/>
      <c r="AA61" s="4"/>
      <c r="AC61" s="30"/>
      <c r="AD61" s="4"/>
      <c r="AG61" s="38"/>
    </row>
    <row r="62" spans="20:33" x14ac:dyDescent="0.25">
      <c r="T62" s="24"/>
      <c r="U62" s="4"/>
      <c r="Z62" s="24"/>
      <c r="AA62" s="4"/>
      <c r="AC62" s="30"/>
      <c r="AD62" s="4"/>
      <c r="AG62" s="38"/>
    </row>
    <row r="63" spans="20:33" x14ac:dyDescent="0.25">
      <c r="T63" s="24"/>
      <c r="U63" s="4"/>
      <c r="Z63" s="24"/>
      <c r="AA63" s="4"/>
      <c r="AC63" s="30"/>
      <c r="AD63" s="4"/>
      <c r="AG63" s="38"/>
    </row>
    <row r="64" spans="20:33" x14ac:dyDescent="0.25">
      <c r="T64" s="24"/>
      <c r="U64" s="4"/>
      <c r="Z64" s="24"/>
      <c r="AA64" s="4"/>
      <c r="AC64" s="30"/>
      <c r="AD64" s="4"/>
      <c r="AG64" s="38"/>
    </row>
    <row r="65" spans="20:33" x14ac:dyDescent="0.25">
      <c r="T65" s="24"/>
      <c r="U65" s="4"/>
      <c r="Z65" s="24"/>
      <c r="AA65" s="4"/>
      <c r="AC65" s="30"/>
      <c r="AD65" s="4"/>
      <c r="AG65" s="38"/>
    </row>
    <row r="66" spans="20:33" x14ac:dyDescent="0.25">
      <c r="T66" s="24"/>
      <c r="U66" s="4"/>
      <c r="Z66" s="24"/>
      <c r="AA66" s="4"/>
      <c r="AC66" s="30"/>
      <c r="AD66" s="4"/>
      <c r="AG66" s="38"/>
    </row>
    <row r="67" spans="20:33" x14ac:dyDescent="0.25">
      <c r="T67" s="24"/>
      <c r="U67" s="4"/>
      <c r="Z67" s="24"/>
      <c r="AA67" s="4"/>
      <c r="AC67" s="30"/>
      <c r="AD67" s="4"/>
      <c r="AG67" s="38"/>
    </row>
    <row r="68" spans="20:33" x14ac:dyDescent="0.25">
      <c r="T68" s="24"/>
      <c r="U68" s="4"/>
      <c r="Z68" s="24"/>
      <c r="AA68" s="4"/>
      <c r="AC68" s="30"/>
      <c r="AD68" s="4"/>
      <c r="AG68" s="38"/>
    </row>
    <row r="69" spans="20:33" x14ac:dyDescent="0.25">
      <c r="T69" s="24"/>
      <c r="U69" s="4"/>
      <c r="Z69" s="24"/>
      <c r="AA69" s="4"/>
      <c r="AC69" s="30"/>
      <c r="AD69" s="4"/>
      <c r="AG69" s="38"/>
    </row>
    <row r="70" spans="20:33" x14ac:dyDescent="0.25">
      <c r="T70" s="24"/>
      <c r="U70" s="4"/>
      <c r="Z70" s="24"/>
      <c r="AA70" s="4"/>
      <c r="AC70" s="30"/>
      <c r="AD70" s="4"/>
      <c r="AG70" s="38"/>
    </row>
    <row r="71" spans="20:33" x14ac:dyDescent="0.25">
      <c r="T71" s="24"/>
      <c r="U71" s="4"/>
      <c r="Z71" s="24"/>
      <c r="AA71" s="4"/>
      <c r="AC71" s="30"/>
      <c r="AD71" s="4"/>
      <c r="AG71" s="38"/>
    </row>
    <row r="72" spans="20:33" x14ac:dyDescent="0.25">
      <c r="T72" s="24"/>
      <c r="U72" s="4"/>
      <c r="Z72" s="24"/>
      <c r="AA72" s="4"/>
      <c r="AC72" s="30"/>
      <c r="AD72" s="4"/>
      <c r="AG72" s="38"/>
    </row>
    <row r="73" spans="20:33" x14ac:dyDescent="0.25">
      <c r="T73" s="24"/>
      <c r="U73" s="4"/>
      <c r="Z73" s="24"/>
      <c r="AA73" s="4"/>
      <c r="AC73" s="30"/>
      <c r="AD73" s="4"/>
      <c r="AG73" s="38"/>
    </row>
    <row r="74" spans="20:33" x14ac:dyDescent="0.25">
      <c r="T74" s="24"/>
      <c r="U74" s="4"/>
      <c r="Z74" s="24"/>
      <c r="AA74" s="4"/>
      <c r="AC74" s="30"/>
      <c r="AD74" s="4"/>
      <c r="AG74" s="38"/>
    </row>
    <row r="75" spans="20:33" x14ac:dyDescent="0.25">
      <c r="T75" s="24"/>
      <c r="U75" s="4"/>
      <c r="Z75" s="24"/>
      <c r="AA75" s="4"/>
      <c r="AC75" s="30"/>
      <c r="AD75" s="4"/>
      <c r="AG75" s="38"/>
    </row>
    <row r="76" spans="20:33" x14ac:dyDescent="0.25">
      <c r="T76" s="24"/>
      <c r="U76" s="4"/>
      <c r="Z76" s="24"/>
      <c r="AA76" s="4"/>
      <c r="AC76" s="30"/>
      <c r="AD76" s="4"/>
      <c r="AG76" s="38"/>
    </row>
    <row r="77" spans="20:33" x14ac:dyDescent="0.25">
      <c r="T77" s="24"/>
      <c r="U77" s="4"/>
      <c r="Z77" s="24"/>
      <c r="AA77" s="4"/>
      <c r="AC77" s="30"/>
      <c r="AD77" s="4"/>
      <c r="AG77" s="38"/>
    </row>
    <row r="78" spans="20:33" x14ac:dyDescent="0.25">
      <c r="T78" s="24"/>
      <c r="U78" s="4"/>
      <c r="Z78" s="24"/>
      <c r="AA78" s="4"/>
      <c r="AC78" s="30"/>
      <c r="AD78" s="4"/>
      <c r="AG78" s="38"/>
    </row>
    <row r="79" spans="20:33" x14ac:dyDescent="0.25">
      <c r="T79" s="24"/>
      <c r="U79" s="4"/>
      <c r="Z79" s="24"/>
      <c r="AA79" s="4"/>
      <c r="AC79" s="30"/>
      <c r="AD79" s="4"/>
      <c r="AG79" s="38"/>
    </row>
    <row r="80" spans="20:33" x14ac:dyDescent="0.25">
      <c r="T80" s="24"/>
      <c r="U80" s="4"/>
      <c r="Z80" s="24"/>
      <c r="AA80" s="4"/>
      <c r="AC80" s="30"/>
      <c r="AD80" s="4"/>
      <c r="AG80" s="38"/>
    </row>
    <row r="81" spans="20:33" x14ac:dyDescent="0.25">
      <c r="T81" s="24"/>
      <c r="U81" s="4"/>
      <c r="Z81" s="24"/>
      <c r="AA81" s="4"/>
      <c r="AC81" s="30"/>
      <c r="AD81" s="4"/>
      <c r="AG81" s="38"/>
    </row>
    <row r="82" spans="20:33" x14ac:dyDescent="0.25">
      <c r="T82" s="24"/>
      <c r="U82" s="4"/>
      <c r="Z82" s="24"/>
      <c r="AA82" s="4"/>
      <c r="AC82" s="30"/>
      <c r="AD82" s="4"/>
      <c r="AG82" s="38"/>
    </row>
    <row r="83" spans="20:33" x14ac:dyDescent="0.25">
      <c r="T83" s="24"/>
      <c r="U83" s="4"/>
      <c r="Z83" s="24"/>
      <c r="AA83" s="4"/>
      <c r="AC83" s="30"/>
      <c r="AD83" s="4"/>
      <c r="AG83" s="38"/>
    </row>
    <row r="84" spans="20:33" x14ac:dyDescent="0.25">
      <c r="T84" s="24"/>
      <c r="U84" s="4"/>
      <c r="Z84" s="24"/>
      <c r="AA84" s="4"/>
      <c r="AC84" s="30"/>
      <c r="AD84" s="4"/>
      <c r="AG84" s="38"/>
    </row>
    <row r="85" spans="20:33" x14ac:dyDescent="0.25">
      <c r="T85" s="24"/>
      <c r="U85" s="4"/>
      <c r="Z85" s="24"/>
      <c r="AA85" s="4"/>
      <c r="AC85" s="30"/>
      <c r="AD85" s="4"/>
      <c r="AG85" s="38"/>
    </row>
    <row r="86" spans="20:33" x14ac:dyDescent="0.25">
      <c r="T86" s="24"/>
      <c r="U86" s="4"/>
      <c r="Z86" s="24"/>
      <c r="AA86" s="4"/>
      <c r="AC86" s="30"/>
      <c r="AD86" s="4"/>
      <c r="AG86" s="38"/>
    </row>
    <row r="87" spans="20:33" x14ac:dyDescent="0.25">
      <c r="T87" s="24"/>
      <c r="U87" s="4"/>
      <c r="Z87" s="24"/>
      <c r="AA87" s="4"/>
      <c r="AC87" s="30"/>
      <c r="AD87" s="4"/>
      <c r="AG87" s="38"/>
    </row>
    <row r="88" spans="20:33" x14ac:dyDescent="0.25">
      <c r="T88" s="24"/>
      <c r="U88" s="4"/>
      <c r="Z88" s="24"/>
      <c r="AA88" s="4"/>
      <c r="AC88" s="30"/>
      <c r="AD88" s="4"/>
      <c r="AG88" s="38"/>
    </row>
    <row r="89" spans="20:33" x14ac:dyDescent="0.25">
      <c r="T89" s="24"/>
      <c r="U89" s="4"/>
      <c r="Z89" s="24"/>
      <c r="AA89" s="4"/>
      <c r="AC89" s="30"/>
      <c r="AD89" s="4"/>
      <c r="AG89" s="38"/>
    </row>
    <row r="90" spans="20:33" x14ac:dyDescent="0.25">
      <c r="T90" s="24"/>
      <c r="U90" s="4"/>
      <c r="Z90" s="24"/>
      <c r="AA90" s="4"/>
      <c r="AC90" s="30"/>
      <c r="AD90" s="4"/>
      <c r="AG90" s="38"/>
    </row>
  </sheetData>
  <mergeCells count="4">
    <mergeCell ref="AC2:AG4"/>
    <mergeCell ref="T2:Z4"/>
    <mergeCell ref="AC9:AG11"/>
    <mergeCell ref="I1:J1"/>
  </mergeCells>
  <pageMargins left="0.51181102362204722" right="0.23622047244094491" top="0.74803149606299213" bottom="0.74803149606299213" header="0.31496062992125984" footer="0.31496062992125984"/>
  <pageSetup paperSize="9" scale="4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T17"/>
  <sheetViews>
    <sheetView showGridLines="0" showRowColHeaders="0" zoomScale="80" zoomScaleNormal="80" workbookViewId="0">
      <selection activeCell="H14" sqref="H14"/>
    </sheetView>
  </sheetViews>
  <sheetFormatPr defaultRowHeight="15" x14ac:dyDescent="0.25"/>
  <cols>
    <col min="1" max="1" width="9.140625" style="21"/>
    <col min="2" max="2" width="12.5703125" style="15" customWidth="1"/>
    <col min="3" max="3" width="33.28515625" customWidth="1"/>
    <col min="4" max="4" width="18.7109375" style="20" customWidth="1"/>
    <col min="5" max="5" width="12" style="21" bestFit="1" customWidth="1"/>
    <col min="6" max="6" width="16.28515625" style="3" customWidth="1"/>
    <col min="7" max="7" width="27.42578125" customWidth="1"/>
    <col min="9" max="10" width="12.7109375" hidden="1" customWidth="1"/>
    <col min="11" max="12" width="9.140625" hidden="1" customWidth="1"/>
    <col min="13" max="13" width="11.5703125" style="15" hidden="1" customWidth="1"/>
    <col min="14" max="14" width="9.140625" hidden="1" customWidth="1"/>
    <col min="15" max="15" width="11" hidden="1" customWidth="1"/>
    <col min="16" max="16" width="9.140625" hidden="1" customWidth="1"/>
    <col min="17" max="17" width="14.28515625" hidden="1" customWidth="1"/>
    <col min="18" max="18" width="9.140625" hidden="1" customWidth="1"/>
    <col min="19" max="20" width="9.140625" customWidth="1"/>
  </cols>
  <sheetData>
    <row r="1" spans="1:20" x14ac:dyDescent="0.25">
      <c r="A1" s="8" t="s">
        <v>0</v>
      </c>
      <c r="B1" s="16" t="s">
        <v>68</v>
      </c>
      <c r="C1" s="14" t="s">
        <v>64</v>
      </c>
      <c r="D1" s="19" t="s">
        <v>2</v>
      </c>
      <c r="E1" s="8" t="s">
        <v>65</v>
      </c>
      <c r="F1" s="17" t="s">
        <v>66</v>
      </c>
      <c r="G1" s="14" t="s">
        <v>67</v>
      </c>
      <c r="H1" s="6"/>
      <c r="I1" s="17" t="s">
        <v>64</v>
      </c>
      <c r="J1" s="17" t="s">
        <v>68</v>
      </c>
      <c r="L1" s="14" t="s">
        <v>0</v>
      </c>
      <c r="M1" s="16" t="s">
        <v>68</v>
      </c>
      <c r="N1" s="14" t="s">
        <v>64</v>
      </c>
      <c r="O1" s="14" t="s">
        <v>2</v>
      </c>
      <c r="P1" s="14" t="s">
        <v>65</v>
      </c>
      <c r="Q1" s="14" t="s">
        <v>66</v>
      </c>
      <c r="R1" s="14" t="s">
        <v>67</v>
      </c>
      <c r="T1" s="18"/>
    </row>
    <row r="2" spans="1:20" x14ac:dyDescent="0.25">
      <c r="A2" s="21">
        <v>2</v>
      </c>
      <c r="B2" s="15">
        <v>43862</v>
      </c>
      <c r="C2" t="s">
        <v>79</v>
      </c>
      <c r="D2" s="20">
        <v>45000</v>
      </c>
      <c r="E2" s="21">
        <v>2</v>
      </c>
      <c r="F2" s="3">
        <v>90000</v>
      </c>
      <c r="G2" t="s">
        <v>133</v>
      </c>
      <c r="I2" s="15" t="s">
        <v>134</v>
      </c>
      <c r="J2" s="15"/>
      <c r="L2" s="21">
        <v>2</v>
      </c>
      <c r="M2" s="15">
        <v>43862</v>
      </c>
      <c r="N2" t="s">
        <v>79</v>
      </c>
      <c r="O2" s="20">
        <v>45000</v>
      </c>
      <c r="P2" s="21">
        <v>2</v>
      </c>
      <c r="Q2" s="3">
        <v>90000</v>
      </c>
      <c r="R2" t="s">
        <v>133</v>
      </c>
      <c r="T2" s="4">
        <v>3</v>
      </c>
    </row>
    <row r="3" spans="1:20" x14ac:dyDescent="0.25">
      <c r="A3" s="21">
        <v>3</v>
      </c>
      <c r="B3" s="15">
        <v>43862</v>
      </c>
      <c r="C3" t="s">
        <v>122</v>
      </c>
      <c r="D3" s="20">
        <v>2500</v>
      </c>
      <c r="E3" s="21">
        <v>8</v>
      </c>
      <c r="F3" s="3">
        <v>20000</v>
      </c>
      <c r="G3" t="s">
        <v>134</v>
      </c>
      <c r="L3" s="21">
        <v>3</v>
      </c>
      <c r="M3" s="15">
        <v>43862</v>
      </c>
      <c r="N3" t="s">
        <v>122</v>
      </c>
      <c r="O3" s="20">
        <v>2500</v>
      </c>
      <c r="P3" s="21">
        <v>8</v>
      </c>
      <c r="Q3" s="3">
        <v>20000</v>
      </c>
      <c r="R3" t="s">
        <v>134</v>
      </c>
      <c r="T3" s="5"/>
    </row>
    <row r="4" spans="1:20" x14ac:dyDescent="0.25">
      <c r="T4" s="4"/>
    </row>
    <row r="5" spans="1:20" x14ac:dyDescent="0.25">
      <c r="F5" s="22"/>
      <c r="L5" s="21"/>
      <c r="O5" s="20"/>
      <c r="P5" s="21"/>
      <c r="Q5" s="3"/>
    </row>
    <row r="6" spans="1:20" x14ac:dyDescent="0.25">
      <c r="A6"/>
      <c r="D6"/>
      <c r="E6"/>
      <c r="F6"/>
      <c r="L6" s="21"/>
      <c r="O6" s="20"/>
      <c r="P6" s="21"/>
      <c r="Q6" s="3"/>
    </row>
    <row r="7" spans="1:20" x14ac:dyDescent="0.25">
      <c r="A7"/>
      <c r="D7"/>
      <c r="E7"/>
      <c r="F7"/>
      <c r="L7" s="21"/>
      <c r="O7" s="20"/>
      <c r="P7" s="21"/>
      <c r="Q7" s="3"/>
    </row>
    <row r="8" spans="1:20" x14ac:dyDescent="0.25">
      <c r="A8"/>
      <c r="D8"/>
      <c r="E8"/>
      <c r="F8"/>
      <c r="L8" s="21"/>
      <c r="O8" s="20"/>
      <c r="P8" s="21"/>
      <c r="Q8" s="3"/>
    </row>
    <row r="9" spans="1:20" x14ac:dyDescent="0.25">
      <c r="L9" s="21"/>
      <c r="O9" s="20"/>
      <c r="P9" s="21"/>
      <c r="Q9" s="3"/>
    </row>
    <row r="10" spans="1:20" x14ac:dyDescent="0.25">
      <c r="L10" s="21"/>
      <c r="O10" s="20"/>
      <c r="P10" s="21"/>
      <c r="Q10" s="3"/>
    </row>
    <row r="11" spans="1:20" x14ac:dyDescent="0.25">
      <c r="L11" s="21"/>
      <c r="O11" s="20"/>
      <c r="P11" s="21"/>
      <c r="Q11" s="3"/>
    </row>
    <row r="12" spans="1:20" x14ac:dyDescent="0.25">
      <c r="L12" s="21"/>
      <c r="O12" s="20"/>
      <c r="P12" s="21"/>
      <c r="Q12" s="3"/>
    </row>
    <row r="13" spans="1:20" x14ac:dyDescent="0.25">
      <c r="L13" s="21"/>
      <c r="O13" s="20"/>
      <c r="P13" s="21"/>
      <c r="Q13" s="3"/>
    </row>
    <row r="14" spans="1:20" x14ac:dyDescent="0.25">
      <c r="L14" s="21"/>
      <c r="O14" s="20"/>
      <c r="P14" s="21"/>
      <c r="Q14" s="3"/>
    </row>
    <row r="15" spans="1:20" x14ac:dyDescent="0.25">
      <c r="L15" s="21"/>
      <c r="O15" s="20"/>
      <c r="P15" s="21"/>
      <c r="Q15" s="3"/>
    </row>
    <row r="16" spans="1:20" x14ac:dyDescent="0.25">
      <c r="L16" s="21"/>
      <c r="O16" s="20"/>
      <c r="P16" s="21"/>
      <c r="Q16" s="3"/>
    </row>
    <row r="17" spans="12:17" x14ac:dyDescent="0.25">
      <c r="L17" s="21"/>
      <c r="O17" s="20"/>
      <c r="P17" s="21"/>
      <c r="Q17" s="3"/>
    </row>
  </sheetData>
  <sortState xmlns:xlrd2="http://schemas.microsoft.com/office/spreadsheetml/2017/richdata2" ref="A2:G9">
    <sortCondition ref="A1"/>
  </sortState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699201-A181-4181-AFAB-37925F74F575}">
  <sheetPr codeName="Sheet6"/>
  <dimension ref="A1:I78"/>
  <sheetViews>
    <sheetView tabSelected="1" workbookViewId="0">
      <selection activeCell="B3" sqref="B3"/>
    </sheetView>
  </sheetViews>
  <sheetFormatPr defaultRowHeight="15" x14ac:dyDescent="0.25"/>
  <cols>
    <col min="1" max="1" width="28" customWidth="1"/>
    <col min="2" max="2" width="18.85546875" customWidth="1"/>
    <col min="5" max="5" width="5.5703125" style="92" bestFit="1" customWidth="1"/>
    <col min="6" max="6" width="10.7109375" style="32" bestFit="1" customWidth="1"/>
    <col min="7" max="7" width="35.5703125" customWidth="1"/>
    <col min="8" max="8" width="13.5703125" style="4" customWidth="1"/>
    <col min="9" max="9" width="22.5703125" style="4" bestFit="1" customWidth="1"/>
  </cols>
  <sheetData>
    <row r="1" spans="1:9" x14ac:dyDescent="0.25">
      <c r="A1" s="89" t="s">
        <v>102</v>
      </c>
      <c r="B1" s="89" t="s">
        <v>103</v>
      </c>
      <c r="D1">
        <v>1</v>
      </c>
      <c r="E1" s="150" t="s">
        <v>109</v>
      </c>
      <c r="F1" s="150"/>
      <c r="G1" s="150"/>
      <c r="I1" s="153">
        <f ca="1">NOW()</f>
        <v>44259.851760995371</v>
      </c>
    </row>
    <row r="2" spans="1:9" ht="15" customHeight="1" x14ac:dyDescent="0.25">
      <c r="A2" t="s">
        <v>137</v>
      </c>
      <c r="B2" s="4" t="s">
        <v>138</v>
      </c>
      <c r="E2" s="150"/>
      <c r="F2" s="150"/>
      <c r="G2" s="150"/>
      <c r="I2" s="153"/>
    </row>
    <row r="3" spans="1:9" ht="15" customHeight="1" x14ac:dyDescent="0.25">
      <c r="E3" s="150"/>
      <c r="F3" s="150"/>
      <c r="G3" s="150"/>
      <c r="I3" s="153"/>
    </row>
    <row r="4" spans="1:9" ht="15" customHeight="1" x14ac:dyDescent="0.25">
      <c r="E4" s="97"/>
      <c r="F4" s="94"/>
      <c r="G4" s="91"/>
      <c r="I4" s="96"/>
    </row>
    <row r="5" spans="1:9" x14ac:dyDescent="0.25">
      <c r="E5" s="154" t="s">
        <v>110</v>
      </c>
      <c r="F5" s="154"/>
      <c r="G5" s="99">
        <f>F9</f>
        <v>0</v>
      </c>
    </row>
    <row r="6" spans="1:9" x14ac:dyDescent="0.25">
      <c r="E6" s="154"/>
      <c r="F6" s="154"/>
    </row>
    <row r="8" spans="1:9" ht="24.95" customHeight="1" x14ac:dyDescent="0.25">
      <c r="E8" s="93" t="s">
        <v>0</v>
      </c>
      <c r="F8" s="95" t="s">
        <v>68</v>
      </c>
      <c r="G8" s="89" t="s">
        <v>67</v>
      </c>
      <c r="H8" s="89" t="s">
        <v>107</v>
      </c>
      <c r="I8" s="89" t="s">
        <v>108</v>
      </c>
    </row>
    <row r="9" spans="1:9" x14ac:dyDescent="0.25">
      <c r="E9" s="98" t="str">
        <f>IF(F9="","",1)</f>
        <v/>
      </c>
      <c r="F9" s="15"/>
    </row>
    <row r="10" spans="1:9" x14ac:dyDescent="0.25">
      <c r="E10" s="98" t="str">
        <f>IF(F10="","",E9+1)</f>
        <v/>
      </c>
      <c r="F10" s="15"/>
    </row>
    <row r="11" spans="1:9" x14ac:dyDescent="0.25">
      <c r="E11" s="98" t="str">
        <f t="shared" ref="E11:E74" si="0">IF(F11="","",E10+1)</f>
        <v/>
      </c>
      <c r="F11" s="15"/>
    </row>
    <row r="12" spans="1:9" x14ac:dyDescent="0.25">
      <c r="E12" s="98" t="str">
        <f t="shared" si="0"/>
        <v/>
      </c>
      <c r="F12" s="15"/>
    </row>
    <row r="13" spans="1:9" x14ac:dyDescent="0.25">
      <c r="E13" s="98" t="str">
        <f t="shared" si="0"/>
        <v/>
      </c>
      <c r="F13" s="15"/>
    </row>
    <row r="14" spans="1:9" x14ac:dyDescent="0.25">
      <c r="E14" s="98" t="str">
        <f t="shared" si="0"/>
        <v/>
      </c>
      <c r="F14" s="15"/>
    </row>
    <row r="15" spans="1:9" x14ac:dyDescent="0.25">
      <c r="E15" s="98" t="str">
        <f t="shared" si="0"/>
        <v/>
      </c>
      <c r="F15" s="15"/>
    </row>
    <row r="16" spans="1:9" x14ac:dyDescent="0.25">
      <c r="E16" s="98" t="str">
        <f t="shared" si="0"/>
        <v/>
      </c>
      <c r="F16" s="15"/>
    </row>
    <row r="17" spans="5:6" x14ac:dyDescent="0.25">
      <c r="E17" s="98" t="str">
        <f t="shared" si="0"/>
        <v/>
      </c>
      <c r="F17" s="15"/>
    </row>
    <row r="18" spans="5:6" x14ac:dyDescent="0.25">
      <c r="E18" s="98" t="str">
        <f t="shared" si="0"/>
        <v/>
      </c>
      <c r="F18" s="15"/>
    </row>
    <row r="19" spans="5:6" x14ac:dyDescent="0.25">
      <c r="E19" s="98" t="str">
        <f t="shared" si="0"/>
        <v/>
      </c>
      <c r="F19" s="15"/>
    </row>
    <row r="20" spans="5:6" x14ac:dyDescent="0.25">
      <c r="E20" s="98" t="str">
        <f t="shared" si="0"/>
        <v/>
      </c>
      <c r="F20" s="15"/>
    </row>
    <row r="21" spans="5:6" x14ac:dyDescent="0.25">
      <c r="E21" s="98" t="str">
        <f t="shared" si="0"/>
        <v/>
      </c>
      <c r="F21" s="15"/>
    </row>
    <row r="22" spans="5:6" x14ac:dyDescent="0.25">
      <c r="E22" s="98" t="str">
        <f t="shared" si="0"/>
        <v/>
      </c>
      <c r="F22" s="15"/>
    </row>
    <row r="23" spans="5:6" x14ac:dyDescent="0.25">
      <c r="E23" s="98" t="str">
        <f t="shared" si="0"/>
        <v/>
      </c>
      <c r="F23" s="15"/>
    </row>
    <row r="24" spans="5:6" x14ac:dyDescent="0.25">
      <c r="E24" s="98" t="str">
        <f t="shared" si="0"/>
        <v/>
      </c>
      <c r="F24" s="15"/>
    </row>
    <row r="25" spans="5:6" x14ac:dyDescent="0.25">
      <c r="E25" s="98" t="str">
        <f t="shared" si="0"/>
        <v/>
      </c>
      <c r="F25" s="15"/>
    </row>
    <row r="26" spans="5:6" x14ac:dyDescent="0.25">
      <c r="E26" s="98" t="str">
        <f t="shared" si="0"/>
        <v/>
      </c>
      <c r="F26" s="15"/>
    </row>
    <row r="27" spans="5:6" x14ac:dyDescent="0.25">
      <c r="E27" s="98" t="str">
        <f t="shared" si="0"/>
        <v/>
      </c>
      <c r="F27" s="15"/>
    </row>
    <row r="28" spans="5:6" x14ac:dyDescent="0.25">
      <c r="E28" s="98" t="str">
        <f t="shared" si="0"/>
        <v/>
      </c>
      <c r="F28" s="15"/>
    </row>
    <row r="29" spans="5:6" x14ac:dyDescent="0.25">
      <c r="E29" s="98" t="str">
        <f t="shared" si="0"/>
        <v/>
      </c>
      <c r="F29" s="15"/>
    </row>
    <row r="30" spans="5:6" x14ac:dyDescent="0.25">
      <c r="E30" s="98" t="str">
        <f t="shared" si="0"/>
        <v/>
      </c>
      <c r="F30" s="15"/>
    </row>
    <row r="31" spans="5:6" x14ac:dyDescent="0.25">
      <c r="E31" s="98" t="str">
        <f t="shared" si="0"/>
        <v/>
      </c>
      <c r="F31" s="15"/>
    </row>
    <row r="32" spans="5:6" x14ac:dyDescent="0.25">
      <c r="E32" s="98" t="str">
        <f t="shared" si="0"/>
        <v/>
      </c>
      <c r="F32" s="15"/>
    </row>
    <row r="33" spans="5:6" x14ac:dyDescent="0.25">
      <c r="E33" s="98" t="str">
        <f t="shared" si="0"/>
        <v/>
      </c>
      <c r="F33" s="15"/>
    </row>
    <row r="34" spans="5:6" x14ac:dyDescent="0.25">
      <c r="E34" s="98" t="str">
        <f t="shared" si="0"/>
        <v/>
      </c>
      <c r="F34" s="15"/>
    </row>
    <row r="35" spans="5:6" x14ac:dyDescent="0.25">
      <c r="E35" s="98" t="str">
        <f t="shared" si="0"/>
        <v/>
      </c>
      <c r="F35" s="15"/>
    </row>
    <row r="36" spans="5:6" x14ac:dyDescent="0.25">
      <c r="E36" s="98" t="str">
        <f t="shared" si="0"/>
        <v/>
      </c>
      <c r="F36" s="15"/>
    </row>
    <row r="37" spans="5:6" x14ac:dyDescent="0.25">
      <c r="E37" s="98" t="str">
        <f t="shared" si="0"/>
        <v/>
      </c>
      <c r="F37" s="15"/>
    </row>
    <row r="38" spans="5:6" x14ac:dyDescent="0.25">
      <c r="E38" s="98" t="str">
        <f t="shared" si="0"/>
        <v/>
      </c>
      <c r="F38" s="15"/>
    </row>
    <row r="39" spans="5:6" x14ac:dyDescent="0.25">
      <c r="E39" s="98" t="str">
        <f t="shared" si="0"/>
        <v/>
      </c>
      <c r="F39" s="15"/>
    </row>
    <row r="40" spans="5:6" x14ac:dyDescent="0.25">
      <c r="E40" s="98" t="str">
        <f t="shared" si="0"/>
        <v/>
      </c>
      <c r="F40" s="15"/>
    </row>
    <row r="41" spans="5:6" x14ac:dyDescent="0.25">
      <c r="E41" s="98" t="str">
        <f t="shared" si="0"/>
        <v/>
      </c>
      <c r="F41" s="15"/>
    </row>
    <row r="42" spans="5:6" x14ac:dyDescent="0.25">
      <c r="E42" s="98" t="str">
        <f t="shared" si="0"/>
        <v/>
      </c>
      <c r="F42" s="15"/>
    </row>
    <row r="43" spans="5:6" x14ac:dyDescent="0.25">
      <c r="E43" s="98" t="str">
        <f t="shared" si="0"/>
        <v/>
      </c>
      <c r="F43" s="15"/>
    </row>
    <row r="44" spans="5:6" x14ac:dyDescent="0.25">
      <c r="E44" s="98" t="str">
        <f t="shared" si="0"/>
        <v/>
      </c>
      <c r="F44" s="15"/>
    </row>
    <row r="45" spans="5:6" x14ac:dyDescent="0.25">
      <c r="E45" s="98" t="str">
        <f t="shared" si="0"/>
        <v/>
      </c>
      <c r="F45" s="15"/>
    </row>
    <row r="46" spans="5:6" x14ac:dyDescent="0.25">
      <c r="E46" s="98" t="str">
        <f t="shared" si="0"/>
        <v/>
      </c>
      <c r="F46" s="15"/>
    </row>
    <row r="47" spans="5:6" x14ac:dyDescent="0.25">
      <c r="E47" s="98" t="str">
        <f t="shared" si="0"/>
        <v/>
      </c>
      <c r="F47" s="15"/>
    </row>
    <row r="48" spans="5:6" x14ac:dyDescent="0.25">
      <c r="E48" s="98" t="str">
        <f t="shared" si="0"/>
        <v/>
      </c>
      <c r="F48" s="15"/>
    </row>
    <row r="49" spans="5:6" x14ac:dyDescent="0.25">
      <c r="E49" s="98" t="str">
        <f t="shared" si="0"/>
        <v/>
      </c>
      <c r="F49" s="15"/>
    </row>
    <row r="50" spans="5:6" x14ac:dyDescent="0.25">
      <c r="E50" s="98" t="str">
        <f t="shared" si="0"/>
        <v/>
      </c>
      <c r="F50" s="15"/>
    </row>
    <row r="51" spans="5:6" x14ac:dyDescent="0.25">
      <c r="E51" s="98" t="str">
        <f t="shared" si="0"/>
        <v/>
      </c>
      <c r="F51" s="15"/>
    </row>
    <row r="52" spans="5:6" x14ac:dyDescent="0.25">
      <c r="E52" s="98" t="str">
        <f t="shared" si="0"/>
        <v/>
      </c>
      <c r="F52" s="15"/>
    </row>
    <row r="53" spans="5:6" x14ac:dyDescent="0.25">
      <c r="E53" s="98" t="str">
        <f t="shared" si="0"/>
        <v/>
      </c>
      <c r="F53" s="15"/>
    </row>
    <row r="54" spans="5:6" x14ac:dyDescent="0.25">
      <c r="E54" s="98" t="str">
        <f t="shared" si="0"/>
        <v/>
      </c>
      <c r="F54" s="15"/>
    </row>
    <row r="55" spans="5:6" x14ac:dyDescent="0.25">
      <c r="E55" s="98" t="str">
        <f t="shared" si="0"/>
        <v/>
      </c>
      <c r="F55" s="15"/>
    </row>
    <row r="56" spans="5:6" x14ac:dyDescent="0.25">
      <c r="E56" s="98" t="str">
        <f t="shared" si="0"/>
        <v/>
      </c>
      <c r="F56" s="15"/>
    </row>
    <row r="57" spans="5:6" x14ac:dyDescent="0.25">
      <c r="E57" s="98" t="str">
        <f t="shared" si="0"/>
        <v/>
      </c>
      <c r="F57" s="15"/>
    </row>
    <row r="58" spans="5:6" x14ac:dyDescent="0.25">
      <c r="E58" s="98" t="str">
        <f t="shared" si="0"/>
        <v/>
      </c>
      <c r="F58" s="15"/>
    </row>
    <row r="59" spans="5:6" x14ac:dyDescent="0.25">
      <c r="E59" s="98" t="str">
        <f t="shared" si="0"/>
        <v/>
      </c>
      <c r="F59" s="15"/>
    </row>
    <row r="60" spans="5:6" x14ac:dyDescent="0.25">
      <c r="E60" s="98" t="str">
        <f t="shared" si="0"/>
        <v/>
      </c>
      <c r="F60" s="15"/>
    </row>
    <row r="61" spans="5:6" x14ac:dyDescent="0.25">
      <c r="E61" s="98" t="str">
        <f t="shared" si="0"/>
        <v/>
      </c>
      <c r="F61" s="15"/>
    </row>
    <row r="62" spans="5:6" x14ac:dyDescent="0.25">
      <c r="E62" s="98" t="str">
        <f t="shared" si="0"/>
        <v/>
      </c>
      <c r="F62" s="15"/>
    </row>
    <row r="63" spans="5:6" x14ac:dyDescent="0.25">
      <c r="E63" s="98" t="str">
        <f t="shared" si="0"/>
        <v/>
      </c>
      <c r="F63" s="15"/>
    </row>
    <row r="64" spans="5:6" x14ac:dyDescent="0.25">
      <c r="E64" s="98" t="str">
        <f t="shared" si="0"/>
        <v/>
      </c>
      <c r="F64" s="15"/>
    </row>
    <row r="65" spans="5:6" x14ac:dyDescent="0.25">
      <c r="E65" s="98" t="str">
        <f t="shared" si="0"/>
        <v/>
      </c>
      <c r="F65" s="15"/>
    </row>
    <row r="66" spans="5:6" x14ac:dyDescent="0.25">
      <c r="E66" s="98" t="str">
        <f t="shared" si="0"/>
        <v/>
      </c>
      <c r="F66" s="15"/>
    </row>
    <row r="67" spans="5:6" x14ac:dyDescent="0.25">
      <c r="E67" s="98" t="str">
        <f t="shared" si="0"/>
        <v/>
      </c>
      <c r="F67" s="15"/>
    </row>
    <row r="68" spans="5:6" x14ac:dyDescent="0.25">
      <c r="E68" s="98" t="str">
        <f t="shared" si="0"/>
        <v/>
      </c>
      <c r="F68" s="15"/>
    </row>
    <row r="69" spans="5:6" x14ac:dyDescent="0.25">
      <c r="E69" s="98" t="str">
        <f t="shared" si="0"/>
        <v/>
      </c>
      <c r="F69" s="15"/>
    </row>
    <row r="70" spans="5:6" x14ac:dyDescent="0.25">
      <c r="E70" s="98" t="str">
        <f t="shared" si="0"/>
        <v/>
      </c>
      <c r="F70" s="15"/>
    </row>
    <row r="71" spans="5:6" x14ac:dyDescent="0.25">
      <c r="E71" s="98" t="str">
        <f t="shared" si="0"/>
        <v/>
      </c>
      <c r="F71" s="15"/>
    </row>
    <row r="72" spans="5:6" x14ac:dyDescent="0.25">
      <c r="E72" s="98" t="str">
        <f t="shared" si="0"/>
        <v/>
      </c>
      <c r="F72" s="15"/>
    </row>
    <row r="73" spans="5:6" x14ac:dyDescent="0.25">
      <c r="E73" s="98" t="str">
        <f t="shared" si="0"/>
        <v/>
      </c>
      <c r="F73" s="15"/>
    </row>
    <row r="74" spans="5:6" x14ac:dyDescent="0.25">
      <c r="E74" s="98" t="str">
        <f t="shared" si="0"/>
        <v/>
      </c>
      <c r="F74" s="15"/>
    </row>
    <row r="75" spans="5:6" x14ac:dyDescent="0.25">
      <c r="E75" s="98" t="str">
        <f t="shared" ref="E75:E78" si="1">IF(F75="","",E74+1)</f>
        <v/>
      </c>
      <c r="F75" s="15"/>
    </row>
    <row r="76" spans="5:6" x14ac:dyDescent="0.25">
      <c r="E76" s="98" t="str">
        <f t="shared" si="1"/>
        <v/>
      </c>
      <c r="F76" s="15"/>
    </row>
    <row r="77" spans="5:6" x14ac:dyDescent="0.25">
      <c r="E77" s="98" t="str">
        <f t="shared" si="1"/>
        <v/>
      </c>
      <c r="F77" s="15"/>
    </row>
    <row r="78" spans="5:6" x14ac:dyDescent="0.25">
      <c r="E78" s="98" t="str">
        <f t="shared" si="1"/>
        <v/>
      </c>
      <c r="F78" s="15"/>
    </row>
  </sheetData>
  <sortState xmlns:xlrd2="http://schemas.microsoft.com/office/spreadsheetml/2017/richdata2" ref="A3:B78">
    <sortCondition ref="A2"/>
  </sortState>
  <mergeCells count="3">
    <mergeCell ref="E1:G3"/>
    <mergeCell ref="I1:I3"/>
    <mergeCell ref="E5:F6"/>
  </mergeCells>
  <pageMargins left="0.41" right="0.31" top="0.74803149606299213" bottom="0.74803149606299213" header="0.31496062992125984" footer="0.31496062992125984"/>
  <pageSetup paperSize="9" scale="105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12</vt:i4>
      </vt:variant>
    </vt:vector>
  </HeadingPairs>
  <TitlesOfParts>
    <vt:vector size="18" baseType="lpstr">
      <vt:lpstr>Sheet1</vt:lpstr>
      <vt:lpstr>Transaksi</vt:lpstr>
      <vt:lpstr>DataBarang</vt:lpstr>
      <vt:lpstr>Laporan</vt:lpstr>
      <vt:lpstr>Pengeluaran</vt:lpstr>
      <vt:lpstr>Sheet2</vt:lpstr>
      <vt:lpstr>copynota</vt:lpstr>
      <vt:lpstr>Laporan!Criteria</vt:lpstr>
      <vt:lpstr>Pengeluaran!Criteria</vt:lpstr>
      <vt:lpstr>extrack</vt:lpstr>
      <vt:lpstr>DataBarang!Extract</vt:lpstr>
      <vt:lpstr>Laporan!Extract</vt:lpstr>
      <vt:lpstr>Pengeluaran!Extract</vt:lpstr>
      <vt:lpstr>HasilInput</vt:lpstr>
      <vt:lpstr>nourut</vt:lpstr>
      <vt:lpstr>Laporan!Print_Area</vt:lpstr>
      <vt:lpstr>Sheet2!Print_Area</vt:lpstr>
      <vt:lpstr>Transaksi!Print_Area</vt:lpstr>
    </vt:vector>
  </TitlesOfParts>
  <Company>home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ismail - [2010]</dc:creator>
  <cp:lastModifiedBy>ASUS</cp:lastModifiedBy>
  <cp:lastPrinted>2020-06-04T07:55:45Z</cp:lastPrinted>
  <dcterms:created xsi:type="dcterms:W3CDTF">2020-01-03T08:48:04Z</dcterms:created>
  <dcterms:modified xsi:type="dcterms:W3CDTF">2021-03-04T12:27:22Z</dcterms:modified>
</cp:coreProperties>
</file>